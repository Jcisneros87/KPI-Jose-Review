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5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6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7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8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9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0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1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2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xr:revisionPtr revIDLastSave="0" documentId="8_{EDC969C6-9D05-445D-B979-DA945496C785}" xr6:coauthVersionLast="47" xr6:coauthVersionMax="47" xr10:uidLastSave="{00000000-0000-0000-0000-000000000000}"/>
  <bookViews>
    <workbookView xWindow="735" yWindow="0" windowWidth="17205" windowHeight="12225" firstSheet="12" activeTab="1" xr2:uid="{00000000-000D-0000-FFFF-FFFF00000000}"/>
  </bookViews>
  <sheets>
    <sheet name="YTD " sheetId="10" r:id="rId1"/>
    <sheet name="YTD Dep" sheetId="11" r:id="rId2"/>
    <sheet name="Target" sheetId="23" r:id="rId3"/>
    <sheet name="Jan Req" sheetId="5" r:id="rId4"/>
    <sheet name="Jan Dep" sheetId="4" r:id="rId5"/>
    <sheet name="Feb Req" sheetId="2" r:id="rId6"/>
    <sheet name="Feb Dep" sheetId="3" r:id="rId7"/>
    <sheet name="Mar Req" sheetId="6" r:id="rId8"/>
    <sheet name="Mar Dep" sheetId="7" r:id="rId9"/>
    <sheet name="Apr Req" sheetId="8" r:id="rId10"/>
    <sheet name="Apr Dep" sheetId="9" r:id="rId11"/>
    <sheet name="May Req" sheetId="12" r:id="rId12"/>
    <sheet name="May Dep" sheetId="13" r:id="rId13"/>
    <sheet name="Jun Req" sheetId="14" r:id="rId14"/>
    <sheet name="Jun Dep" sheetId="15" r:id="rId15"/>
    <sheet name="July Req" sheetId="16" r:id="rId16"/>
    <sheet name="Jul Dep" sheetId="17" r:id="rId17"/>
    <sheet name="Aug Req" sheetId="18" r:id="rId18"/>
    <sheet name="Aug Dep" sheetId="19" r:id="rId19"/>
    <sheet name="Sep Dep" sheetId="20" r:id="rId20"/>
    <sheet name="Oct Dep" sheetId="21" r:id="rId21"/>
    <sheet name="Nov Dep" sheetId="22" r:id="rId22"/>
    <sheet name="Dec Dep" sheetId="24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4" i="24" l="1"/>
  <c r="C24" i="24"/>
  <c r="B24" i="24"/>
  <c r="D24" i="24" s="1"/>
  <c r="D2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8" i="24"/>
  <c r="D7" i="24"/>
  <c r="D6" i="24"/>
  <c r="D5" i="24"/>
  <c r="D4" i="24"/>
  <c r="D3" i="24"/>
  <c r="D2" i="24"/>
  <c r="F20" i="22"/>
  <c r="D20" i="22"/>
  <c r="C20" i="22"/>
  <c r="B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F24" i="21"/>
  <c r="C24" i="21"/>
  <c r="B24" i="21"/>
  <c r="D24" i="21" s="1"/>
  <c r="D23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D7" i="21"/>
  <c r="D6" i="21"/>
  <c r="D5" i="21"/>
  <c r="D4" i="21"/>
  <c r="D3" i="21"/>
  <c r="D2" i="21"/>
  <c r="F23" i="20"/>
  <c r="C23" i="20"/>
  <c r="B23" i="20"/>
  <c r="D23" i="20" s="1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D2" i="20"/>
  <c r="F23" i="19"/>
  <c r="C23" i="19"/>
  <c r="B23" i="19"/>
  <c r="D23" i="19" s="1"/>
  <c r="D22" i="19"/>
  <c r="D21" i="19"/>
  <c r="D20" i="19"/>
  <c r="D19" i="19"/>
  <c r="D18" i="19"/>
  <c r="D17" i="19"/>
  <c r="D16" i="19"/>
  <c r="D15" i="19"/>
  <c r="D14" i="19"/>
  <c r="D13" i="19"/>
  <c r="D12" i="19"/>
  <c r="D11" i="19"/>
  <c r="D10" i="19"/>
  <c r="D9" i="19"/>
  <c r="D8" i="19"/>
  <c r="D7" i="19"/>
  <c r="D6" i="19"/>
  <c r="D5" i="19"/>
  <c r="D4" i="19"/>
  <c r="D3" i="19"/>
  <c r="D2" i="19"/>
  <c r="E25" i="18"/>
  <c r="D25" i="18"/>
  <c r="C25" i="18"/>
  <c r="B25" i="18"/>
  <c r="F24" i="17"/>
  <c r="C24" i="17"/>
  <c r="B24" i="17"/>
  <c r="D24" i="17" s="1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D2" i="17"/>
  <c r="E25" i="16"/>
  <c r="D25" i="16"/>
  <c r="C25" i="16"/>
  <c r="B25" i="16"/>
  <c r="F22" i="15"/>
  <c r="C22" i="15"/>
  <c r="B22" i="15"/>
  <c r="D22" i="15" s="1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2" i="15"/>
  <c r="E25" i="14"/>
  <c r="D25" i="14"/>
  <c r="C25" i="14"/>
  <c r="B25" i="14"/>
  <c r="F22" i="13"/>
  <c r="D22" i="13"/>
  <c r="C22" i="13"/>
  <c r="B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E25" i="12"/>
  <c r="D25" i="12"/>
  <c r="C25" i="12"/>
  <c r="B25" i="12"/>
  <c r="F24" i="9"/>
  <c r="D24" i="9"/>
  <c r="C24" i="9"/>
  <c r="B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E25" i="8"/>
  <c r="D25" i="8"/>
  <c r="C25" i="8"/>
  <c r="B25" i="8"/>
  <c r="E24" i="7"/>
  <c r="C24" i="7"/>
  <c r="B24" i="7"/>
  <c r="D24" i="7" s="1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E25" i="6"/>
  <c r="D25" i="6"/>
  <c r="C25" i="6"/>
  <c r="B25" i="6"/>
  <c r="E21" i="3"/>
  <c r="C21" i="3"/>
  <c r="B21" i="3"/>
  <c r="D21" i="3" s="1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E25" i="2"/>
  <c r="D25" i="2"/>
  <c r="C25" i="2"/>
  <c r="B25" i="2"/>
  <c r="E22" i="4"/>
  <c r="C22" i="4"/>
  <c r="B22" i="4"/>
  <c r="D22" i="4" s="1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C49" i="5"/>
  <c r="B49" i="5"/>
  <c r="D49" i="5" s="1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B19" i="11"/>
</calcChain>
</file>

<file path=xl/sharedStrings.xml><?xml version="1.0" encoding="utf-8"?>
<sst xmlns="http://schemas.openxmlformats.org/spreadsheetml/2006/main" count="1826" uniqueCount="184">
  <si>
    <t>Month</t>
  </si>
  <si>
    <t>ESD Req</t>
  </si>
  <si>
    <t>Emergency Req</t>
  </si>
  <si>
    <t>Deployment Rate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</si>
  <si>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</si>
  <si>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</si>
  <si>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</si>
  <si>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</si>
  <si>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</si>
  <si>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</si>
  <si>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</si>
  <si>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</si>
  <si>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</si>
  <si>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</si>
  <si>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</si>
  <si>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</si>
  <si>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</si>
  <si>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Avg Deployment</t>
  </si>
  <si>
    <t>Target</t>
  </si>
  <si>
    <t xml:space="preserve">April </t>
  </si>
  <si>
    <t>Average</t>
  </si>
  <si>
    <t>&gt;/= 80%</t>
  </si>
  <si>
    <t>Emergency Requests</t>
  </si>
  <si>
    <t>Date</t>
  </si>
  <si>
    <t xml:space="preserve"> Requesting Manager</t>
  </si>
  <si>
    <t>Branch</t>
  </si>
  <si>
    <t>Reason</t>
  </si>
  <si>
    <t>RSS/Pipeline Deployed</t>
  </si>
  <si>
    <t>Perfecta Gallo</t>
  </si>
  <si>
    <t>14th St</t>
  </si>
  <si>
    <t>2 Callouts/No tellers</t>
  </si>
  <si>
    <t>Jordan and Joseph</t>
  </si>
  <si>
    <t>ABM Callout/1 FT Off</t>
  </si>
  <si>
    <t>Suzie</t>
  </si>
  <si>
    <t>BM leaving early</t>
  </si>
  <si>
    <t>Cony</t>
  </si>
  <si>
    <t>Valerie Franco</t>
  </si>
  <si>
    <t>Bear Creek</t>
  </si>
  <si>
    <t>1 Callout/1 Off</t>
  </si>
  <si>
    <t>Lesley</t>
  </si>
  <si>
    <t>1 Callout</t>
  </si>
  <si>
    <t>Joseph (until 3), Solyda (after 3)</t>
  </si>
  <si>
    <t>BM Callout</t>
  </si>
  <si>
    <t>Chelsea</t>
  </si>
  <si>
    <t>1/17//2025</t>
  </si>
  <si>
    <t>Jessica Arroyo</t>
  </si>
  <si>
    <t>Coachella</t>
  </si>
  <si>
    <t>ABM Off, BM Jury Duty</t>
  </si>
  <si>
    <t>Frances</t>
  </si>
  <si>
    <t>Diana Duncan</t>
  </si>
  <si>
    <t>Hemet</t>
  </si>
  <si>
    <t>4 Calliouts</t>
  </si>
  <si>
    <t>Isabel/Jessica</t>
  </si>
  <si>
    <t>Lupe Navarro</t>
  </si>
  <si>
    <t>Indio</t>
  </si>
  <si>
    <t>Denise Chute</t>
  </si>
  <si>
    <t>Lincoln</t>
  </si>
  <si>
    <t>Rosa</t>
  </si>
  <si>
    <t>Hugo Merlan</t>
  </si>
  <si>
    <t>Perris</t>
  </si>
  <si>
    <t>2 callouts</t>
  </si>
  <si>
    <t>Joseph</t>
  </si>
  <si>
    <t>Melissa Chiang</t>
  </si>
  <si>
    <t>Plaza</t>
  </si>
  <si>
    <t>Raymond</t>
  </si>
  <si>
    <t>Ana Sonoda</t>
  </si>
  <si>
    <t>Riv Ave</t>
  </si>
  <si>
    <t>Matt Bird</t>
  </si>
  <si>
    <t>San Jacinto</t>
  </si>
  <si>
    <t>Jessica</t>
  </si>
  <si>
    <t>Jenique</t>
  </si>
  <si>
    <t>4 out</t>
  </si>
  <si>
    <t>Isabel</t>
  </si>
  <si>
    <t>ABM Callout</t>
  </si>
  <si>
    <t>Steven Sanchez</t>
  </si>
  <si>
    <t>Stoneridge</t>
  </si>
  <si>
    <t>ABM Callout/No Sup</t>
  </si>
  <si>
    <t>Jose Gonzalez</t>
  </si>
  <si>
    <t>Sunrise</t>
  </si>
  <si>
    <t>1 callout, BM Off</t>
  </si>
  <si>
    <t>ESD/Email Req</t>
  </si>
  <si>
    <t>Emergency</t>
  </si>
  <si>
    <t>14th</t>
  </si>
  <si>
    <t>Cactus</t>
  </si>
  <si>
    <t>Canyon</t>
  </si>
  <si>
    <t>Corona Lincoln</t>
  </si>
  <si>
    <t>Corona Plaza</t>
  </si>
  <si>
    <t>Eastvale</t>
  </si>
  <si>
    <t>Magnolia</t>
  </si>
  <si>
    <t>Murrieta</t>
  </si>
  <si>
    <t>Rancho</t>
  </si>
  <si>
    <t>Silverhawk</t>
  </si>
  <si>
    <t>Sun City</t>
  </si>
  <si>
    <t>Sun Lakes</t>
  </si>
  <si>
    <t>University</t>
  </si>
  <si>
    <t>West Hemet</t>
  </si>
  <si>
    <t>Woodcrest</t>
  </si>
  <si>
    <t>Deployed</t>
  </si>
  <si>
    <t>Team Size</t>
  </si>
  <si>
    <t>Rate</t>
  </si>
  <si>
    <t>Days Requested</t>
  </si>
  <si>
    <t>Denied</t>
  </si>
  <si>
    <t>ESD Requests</t>
  </si>
  <si>
    <t>Service Request</t>
  </si>
  <si>
    <t>Description</t>
  </si>
  <si>
    <t>Status</t>
  </si>
  <si>
    <t>Customer</t>
  </si>
  <si>
    <t>Created On</t>
  </si>
  <si>
    <t>14th Street</t>
  </si>
  <si>
    <t>Waiting for Customer</t>
  </si>
  <si>
    <t>BSR Callout</t>
  </si>
  <si>
    <t>None available</t>
  </si>
  <si>
    <t>Victor Castro</t>
  </si>
  <si>
    <t>FSR Callout</t>
  </si>
  <si>
    <t>Fulfilled</t>
  </si>
  <si>
    <t>Suzanne Thomas</t>
  </si>
  <si>
    <t>Jen Johnson</t>
  </si>
  <si>
    <t>Jordan</t>
  </si>
  <si>
    <t>Approved</t>
  </si>
  <si>
    <t>Julian Gonzalez</t>
  </si>
  <si>
    <t>Jennifer Johnson</t>
  </si>
  <si>
    <t>Derric Gonzalez</t>
  </si>
  <si>
    <t>BSR LOA</t>
  </si>
  <si>
    <t>Juliana Casillas</t>
  </si>
  <si>
    <t>Cancelled</t>
  </si>
  <si>
    <t>Guadalupe Navarro</t>
  </si>
  <si>
    <t>Valerie Aguilar</t>
  </si>
  <si>
    <t>ABM/FSR Callout</t>
  </si>
  <si>
    <t>BSR Opening</t>
  </si>
  <si>
    <t>Gilbert</t>
  </si>
  <si>
    <t>Mark Douglas</t>
  </si>
  <si>
    <t>Bashar Salim</t>
  </si>
  <si>
    <t>Itzel Pereida</t>
  </si>
  <si>
    <t>Solyda</t>
  </si>
  <si>
    <t>Brissa Carmona</t>
  </si>
  <si>
    <t>ABM Leaving early</t>
  </si>
  <si>
    <t>Active</t>
  </si>
  <si>
    <t>Janet De La Cruz</t>
  </si>
  <si>
    <t>Riverside Ave</t>
  </si>
  <si>
    <t>Pamela Cuthbertson</t>
  </si>
  <si>
    <t>Erik Gerber</t>
  </si>
  <si>
    <t>Approval Rejected</t>
  </si>
  <si>
    <t>Katherine Galvez</t>
  </si>
  <si>
    <t>Submitted</t>
  </si>
  <si>
    <t>Fabian Vidal</t>
  </si>
  <si>
    <t>At/Above 80%</t>
  </si>
  <si>
    <t>ESD/Email</t>
  </si>
  <si>
    <t>Closed</t>
  </si>
  <si>
    <t>Callout</t>
  </si>
  <si>
    <t>None Available</t>
  </si>
  <si>
    <t>Maria Caparas</t>
  </si>
  <si>
    <t>ABM req late arrival</t>
  </si>
  <si>
    <t>Arlyn Treihart</t>
  </si>
  <si>
    <t>Emp left sick</t>
  </si>
  <si>
    <t>Isabel Estrada</t>
  </si>
  <si>
    <t>Abdul</t>
  </si>
  <si>
    <t>Callout/FMLA</t>
  </si>
  <si>
    <t>BM left sick</t>
  </si>
  <si>
    <t>BM/ABM Callout</t>
  </si>
  <si>
    <t>ABM/BSR Callout</t>
  </si>
  <si>
    <t>Canyon Springs</t>
  </si>
  <si>
    <t>Allan Samson</t>
  </si>
  <si>
    <t>BM late arrival</t>
  </si>
  <si>
    <t>Rhonda Sims-Redmon</t>
  </si>
  <si>
    <t>Bryan Tant</t>
  </si>
  <si>
    <t>Rancho Mirage</t>
  </si>
  <si>
    <t>Vanessa Segura</t>
  </si>
  <si>
    <t>Available</t>
  </si>
  <si>
    <t>Sergio Lugo</t>
  </si>
  <si>
    <t>Karen Porter</t>
  </si>
  <si>
    <t>Pulled tlr from Sun City</t>
  </si>
  <si>
    <t>Tlr pulled</t>
  </si>
  <si>
    <t>Johana Ortiz</t>
  </si>
  <si>
    <t>Maricela Mendoza</t>
  </si>
  <si>
    <t xml:space="preserve">At/Above 80% </t>
  </si>
  <si>
    <t>Trevor Amezcua</t>
  </si>
  <si>
    <t>Maria Estrada</t>
  </si>
  <si>
    <t>Subcategory</t>
  </si>
  <si>
    <t>RSS Deployed</t>
  </si>
  <si>
    <t>Amber Hulen</t>
  </si>
  <si>
    <t>No RSS Available</t>
  </si>
  <si>
    <t>Mayra Mendoza</t>
  </si>
  <si>
    <t/>
  </si>
  <si>
    <t>&gt;/+ 80%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</si>
</sst>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1" fontId="0" fillId="0" borderId="4" xfId="0" applyNumberFormat="1" applyBorder="1"/>
    <xf numFmtId="22" fontId="0" fillId="0" borderId="5" xfId="0" applyNumberFormat="1" applyBorder="1"/>
    <xf numFmtId="1" fontId="0" fillId="0" borderId="6" xfId="0" applyNumberFormat="1" applyBorder="1"/>
    <xf numFmtId="0" fontId="0" fillId="0" borderId="7" xfId="0" applyBorder="1"/>
    <xf numFmtId="22" fontId="0" fillId="0" borderId="8" xfId="0" applyNumberForma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4" xfId="0" applyNumberForma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14" fontId="0" fillId="0" borderId="6" xfId="0" applyNumberFormat="1" applyBorder="1"/>
    <xf numFmtId="0" fontId="0" fillId="0" borderId="8" xfId="0" applyBorder="1"/>
    <xf numFmtId="14" fontId="0" fillId="0" borderId="4" xfId="0" applyNumberFormat="1" applyBorder="1" applyAlignment="1">
      <alignment horizontal="right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22" fontId="0" fillId="0" borderId="0" xfId="0" applyNumberFormat="1"/>
    <xf numFmtId="22" fontId="0" fillId="0" borderId="7" xfId="0" applyNumberFormat="1" applyBorder="1"/>
    <xf numFmtId="0" fontId="0" fillId="0" borderId="9" xfId="0" applyBorder="1"/>
    <xf numFmtId="9" fontId="0" fillId="0" borderId="9" xfId="0" applyNumberForma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</a:t>
            </a:r>
            <a:r>
              <a:rPr lang="en-US" baseline="0"/>
              <a:t> Support Requests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'YTD '!$B$1</c:f>
              <c:strCache>
                <c:ptCount val="1"/>
                <c:pt idx="0">
                  <c:v>ESD Req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'YTD '!$A$2:$A$5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'YTD '!$B$2:$B$5</c:f>
              <c:numCache>
                <c:formatCode>General</c:formatCode>
                <c:ptCount val="4"/>
                <c:pt idx="0">
                  <c:v>63</c:v>
                </c:pt>
                <c:pt idx="1">
                  <c:v>73</c:v>
                </c:pt>
                <c:pt idx="2">
                  <c:v>76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1-4C23-B24F-36256AC41AB7}"/>
            </c:ext>
          </c:extLst>
        </c:ser>
        <c:ser>
          <c:idx val="1"/>
          <c:order val="1"/>
          <c:tx>
            <c:strRef>
              <c:f>'YTD '!$C$1</c:f>
              <c:strCache>
                <c:ptCount val="1"/>
                <c:pt idx="0">
                  <c:v>Emergency Req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'YTD '!$A$2:$A$5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'YTD '!$C$2:$C$5</c:f>
              <c:numCache>
                <c:formatCode>General</c:formatCode>
                <c:ptCount val="4"/>
                <c:pt idx="0">
                  <c:v>21</c:v>
                </c:pt>
                <c:pt idx="1">
                  <c:v>20</c:v>
                </c:pt>
                <c:pt idx="2">
                  <c:v>12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A1-4C23-B24F-36256AC41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2490959"/>
        <c:axId val="902485199"/>
      </c:barChart>
      <c:lineChart>
        <c:grouping val="standard"/>
        <c:varyColors val="0"/>
        <c:ser>
          <c:idx val="2"/>
          <c:order val="2"/>
          <c:tx>
            <c:strRef>
              <c:f>'YTD '!$D$1</c:f>
              <c:strCache>
                <c:ptCount val="1"/>
                <c:pt idx="0">
                  <c:v>Deployment Rate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'YTD '!$A$2:$A$5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'YTD '!$D$2:$D$5</c:f>
              <c:numCache>
                <c:formatCode>General</c:formatCode>
                <c:ptCount val="4"/>
                <c:pt idx="0">
                  <c:v>49</c:v>
                </c:pt>
                <c:pt idx="1">
                  <c:v>69</c:v>
                </c:pt>
                <c:pt idx="2">
                  <c:v>62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A1-4C23-B24F-36256AC41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2490959"/>
        <c:axId val="902485199"/>
      </c:lineChart>
      <c:catAx>
        <c:axId val="90249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485199"/>
        <c:crosses val="autoZero"/>
        <c:auto val="1"/>
        <c:lblAlgn val="ctr"/>
        <c:lblOffset val="100"/>
        <c:noMultiLvlLbl val="0"/>
      </c:catAx>
      <c:valAx>
        <c:axId val="90248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49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RSS Deployment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5023172394429168E-17"/>
                  <c:y val="-1.33555903135864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E3-4B65-917B-113A87B12C47}"/>
                </c:ext>
              </c:extLst>
            </c:dLbl>
            <c:dLbl>
              <c:idx val="1"/>
              <c:layout>
                <c:manualLayout>
                  <c:x val="2.1592444480638862E-3"/>
                  <c:y val="1.60642468682624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E3-4B65-917B-113A87B12C47}"/>
                </c:ext>
              </c:extLst>
            </c:dLbl>
            <c:dLbl>
              <c:idx val="2"/>
              <c:layout>
                <c:manualLayout>
                  <c:x val="-1.1594202898550725E-2"/>
                  <c:y val="3.11630440650350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E3-4B65-917B-113A87B12C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'YTD Dep'!$A$6:$A$18</c:f>
              <c:strCache>
                <c:ptCount val="1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January</c:v>
                </c:pt>
                <c:pt idx="9">
                  <c:v>February</c:v>
                </c:pt>
                <c:pt idx="10">
                  <c:v>March</c:v>
                </c:pt>
                <c:pt idx="11">
                  <c:v>April </c:v>
                </c:pt>
                <c:pt idx="12">
                  <c:v>May</c:v>
                </c:pt>
              </c:strCache>
            </c:strRef>
          </c:cat>
          <c:val>
            <c:numRef>
              <c:f>'YTD Dep'!$B$6:$B$18</c:f>
              <c:numCache>
                <c:formatCode>0%</c:formatCode>
                <c:ptCount val="13"/>
                <c:pt idx="0">
                  <c:v>0.76</c:v>
                </c:pt>
                <c:pt idx="1">
                  <c:v>0.79</c:v>
                </c:pt>
                <c:pt idx="2">
                  <c:v>0.82</c:v>
                </c:pt>
                <c:pt idx="3">
                  <c:v>0.85</c:v>
                </c:pt>
                <c:pt idx="4">
                  <c:v>0.79</c:v>
                </c:pt>
                <c:pt idx="5">
                  <c:v>0.79</c:v>
                </c:pt>
                <c:pt idx="6">
                  <c:v>0.84</c:v>
                </c:pt>
                <c:pt idx="7">
                  <c:v>0.79</c:v>
                </c:pt>
                <c:pt idx="8">
                  <c:v>0.77</c:v>
                </c:pt>
                <c:pt idx="9">
                  <c:v>0.82</c:v>
                </c:pt>
                <c:pt idx="10">
                  <c:v>0.84</c:v>
                </c:pt>
                <c:pt idx="11">
                  <c:v>0.9</c:v>
                </c:pt>
                <c:pt idx="12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8-472E-B1AC-2ECE77AC1A4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'YTD Dep'!$A$6:$A$18</c:f>
              <c:strCache>
                <c:ptCount val="1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  <c:pt idx="4">
                  <c:v>September</c:v>
                </c:pt>
                <c:pt idx="5">
                  <c:v>October</c:v>
                </c:pt>
                <c:pt idx="6">
                  <c:v>November</c:v>
                </c:pt>
                <c:pt idx="7">
                  <c:v>December</c:v>
                </c:pt>
                <c:pt idx="8">
                  <c:v>January</c:v>
                </c:pt>
                <c:pt idx="9">
                  <c:v>February</c:v>
                </c:pt>
                <c:pt idx="10">
                  <c:v>March</c:v>
                </c:pt>
                <c:pt idx="11">
                  <c:v>April </c:v>
                </c:pt>
                <c:pt idx="12">
                  <c:v>May</c:v>
                </c:pt>
              </c:strCache>
            </c:strRef>
          </c:cat>
          <c:val>
            <c:numRef>
              <c:f>'YTD Dep'!$C$6:$C$18</c:f>
              <c:numCache>
                <c:formatCode>0%</c:formatCode>
                <c:ptCount val="13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E8-472E-B1AC-2ECE77AC1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6972591"/>
        <c:axId val="636974991"/>
      </c:lineChart>
      <c:catAx>
        <c:axId val="636972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974991"/>
        <c:crosses val="autoZero"/>
        <c:auto val="1"/>
        <c:lblAlgn val="ctr"/>
        <c:lblOffset val="100"/>
        <c:noMultiLvlLbl val="0"/>
      </c:catAx>
      <c:valAx>
        <c:axId val="6369749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Deployed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972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Deployment</a:t>
            </a:r>
            <a:r>
              <a:rPr lang="en-US" baseline="0"/>
              <a:t> &gt;/= Target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Target!$A$2:$A$13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Target!$B$2:$B$13</c:f>
              <c:numCache>
                <c:formatCode>General</c:formatCode>
                <c:ptCount val="12"/>
                <c:pt idx="0">
                  <c:v>0</c:v>
                </c:pt>
                <c:pt idx="1">
                  <c:v>8</c:v>
                </c:pt>
                <c:pt idx="2">
                  <c:v>3</c:v>
                </c:pt>
                <c:pt idx="3">
                  <c:v>10</c:v>
                </c:pt>
                <c:pt idx="4">
                  <c:v>8</c:v>
                </c:pt>
                <c:pt idx="5">
                  <c:v>12</c:v>
                </c:pt>
                <c:pt idx="6">
                  <c:v>13</c:v>
                </c:pt>
                <c:pt idx="7">
                  <c:v>15</c:v>
                </c:pt>
                <c:pt idx="8">
                  <c:v>16</c:v>
                </c:pt>
                <c:pt idx="9">
                  <c:v>11</c:v>
                </c:pt>
                <c:pt idx="1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A-46B2-AB38-67BD5E2AD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6703615"/>
        <c:axId val="1536704575"/>
      </c:barChart>
      <c:catAx>
        <c:axId val="153670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704575"/>
        <c:crosses val="autoZero"/>
        <c:auto val="1"/>
        <c:lblAlgn val="ctr"/>
        <c:lblOffset val="100"/>
        <c:noMultiLvlLbl val="0"/>
      </c:catAx>
      <c:valAx>
        <c:axId val="153670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703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Deployment</a:t>
            </a:r>
            <a:r>
              <a:rPr lang="en-US" baseline="0"/>
              <a:t>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'Jan Dep'!$A$2:$A$21</c:f>
              <c:numCache>
                <c:formatCode>m/d/yyyy</c:formatCode>
                <c:ptCount val="20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46042</c:v>
                </c:pt>
                <c:pt idx="12">
                  <c:v>46043</c:v>
                </c:pt>
                <c:pt idx="13">
                  <c:v>46044</c:v>
                </c:pt>
                <c:pt idx="14">
                  <c:v>46045</c:v>
                </c:pt>
                <c:pt idx="15">
                  <c:v>46048</c:v>
                </c:pt>
                <c:pt idx="16">
                  <c:v>46049</c:v>
                </c:pt>
                <c:pt idx="17">
                  <c:v>46050</c:v>
                </c:pt>
                <c:pt idx="18">
                  <c:v>46051</c:v>
                </c:pt>
                <c:pt idx="19">
                  <c:v>46052</c:v>
                </c:pt>
              </c:numCache>
            </c:numRef>
          </c:cat>
          <c:val>
            <c:numRef>
              <c:f>'Jan Dep'!$D$2:$D$21</c:f>
              <c:numCache>
                <c:formatCode>0%</c:formatCode>
                <c:ptCount val="20"/>
                <c:pt idx="0">
                  <c:v>0.84615384615384615</c:v>
                </c:pt>
                <c:pt idx="1">
                  <c:v>0.69230769230769229</c:v>
                </c:pt>
                <c:pt idx="2">
                  <c:v>0.61538461538461542</c:v>
                </c:pt>
                <c:pt idx="3">
                  <c:v>0.84615384615384615</c:v>
                </c:pt>
                <c:pt idx="4">
                  <c:v>0.92307692307692313</c:v>
                </c:pt>
                <c:pt idx="5">
                  <c:v>0.84615384615384615</c:v>
                </c:pt>
                <c:pt idx="6">
                  <c:v>0.76923076923076927</c:v>
                </c:pt>
                <c:pt idx="7">
                  <c:v>0.76923076923076927</c:v>
                </c:pt>
                <c:pt idx="8">
                  <c:v>0.84615384615384615</c:v>
                </c:pt>
                <c:pt idx="9">
                  <c:v>0.84615384615384615</c:v>
                </c:pt>
                <c:pt idx="10">
                  <c:v>0.76923076923076927</c:v>
                </c:pt>
                <c:pt idx="11">
                  <c:v>0.61538461538461542</c:v>
                </c:pt>
                <c:pt idx="12">
                  <c:v>0.84615384615384615</c:v>
                </c:pt>
                <c:pt idx="13">
                  <c:v>0.84615384615384615</c:v>
                </c:pt>
                <c:pt idx="14">
                  <c:v>0.69230769230769229</c:v>
                </c:pt>
                <c:pt idx="15">
                  <c:v>0.61538461538461542</c:v>
                </c:pt>
                <c:pt idx="16">
                  <c:v>0.69230769230769229</c:v>
                </c:pt>
                <c:pt idx="17">
                  <c:v>0.76923076923076927</c:v>
                </c:pt>
                <c:pt idx="18">
                  <c:v>0.69230769230769229</c:v>
                </c:pt>
                <c:pt idx="19">
                  <c:v>0.84615384615384615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CB-421C-8311-821674C20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251072"/>
        <c:axId val="156254432"/>
      </c:lineChart>
      <c:dateAx>
        <c:axId val="1562510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54432"/>
        <c:crosses val="autoZero"/>
        <c:auto val="1"/>
        <c:lblOffset val="100"/>
        <c:baseTimeUnit val="days"/>
      </c:dateAx>
      <c:valAx>
        <c:axId val="15625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5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</a:t>
            </a:r>
            <a:r>
              <a:rPr lang="en-US" baseline="0"/>
              <a:t> Support Requests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'Feb Req'!$B$1</c:f>
              <c:strCache>
                <c:ptCount val="1"/>
                <c:pt idx="0">
                  <c:v>ESD/Email Req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'Feb Req'!$A$2:$A$24</c:f>
              <c:strCache>
                <c:ptCount val="23"/>
                <c:pt idx="0">
                  <c:v>14th</c:v>
                </c:pt>
                <c:pt idx="1">
                  <c:v>Bear Creek</c:v>
                </c:pt>
                <c:pt idx="2">
                  <c:v>Cactus</c:v>
                </c:pt>
                <c:pt idx="3">
                  <c:v>Canyon</c:v>
                </c:pt>
                <c:pt idx="4">
                  <c:v>Coachella</c:v>
                </c:pt>
                <c:pt idx="5">
                  <c:v>Corona Lincoln</c:v>
                </c:pt>
                <c:pt idx="6">
                  <c:v>Corona Plaza</c:v>
                </c:pt>
                <c:pt idx="7">
                  <c:v>Eastvale</c:v>
                </c:pt>
                <c:pt idx="8">
                  <c:v>Indio</c:v>
                </c:pt>
                <c:pt idx="9">
                  <c:v>Magnolia</c:v>
                </c:pt>
                <c:pt idx="10">
                  <c:v>Murrieta</c:v>
                </c:pt>
                <c:pt idx="11">
                  <c:v>Perris</c:v>
                </c:pt>
                <c:pt idx="12">
                  <c:v>Rancho</c:v>
                </c:pt>
                <c:pt idx="13">
                  <c:v>Riv Ave</c:v>
                </c:pt>
                <c:pt idx="14">
                  <c:v>San Jacinto</c:v>
                </c:pt>
                <c:pt idx="15">
                  <c:v>Silverhawk</c:v>
                </c:pt>
                <c:pt idx="16">
                  <c:v>Stoneridge</c:v>
                </c:pt>
                <c:pt idx="17">
                  <c:v>Sun City</c:v>
                </c:pt>
                <c:pt idx="18">
                  <c:v>Sun Lakes</c:v>
                </c:pt>
                <c:pt idx="19">
                  <c:v>Sunrise</c:v>
                </c:pt>
                <c:pt idx="20">
                  <c:v>University</c:v>
                </c:pt>
                <c:pt idx="21">
                  <c:v>West Hemet</c:v>
                </c:pt>
                <c:pt idx="22">
                  <c:v>Woodcrest</c:v>
                </c:pt>
              </c:strCache>
            </c:strRef>
          </c:cat>
          <c:val>
            <c:numRef>
              <c:f>'Feb Req'!$B$2:$B$24</c:f>
              <c:numCache>
                <c:formatCode>General</c:formatCode>
                <c:ptCount val="23"/>
                <c:pt idx="0">
                  <c:v>3</c:v>
                </c:pt>
                <c:pt idx="1">
                  <c:v>6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12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5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4</c:v>
                </c:pt>
                <c:pt idx="16">
                  <c:v>2</c:v>
                </c:pt>
                <c:pt idx="17">
                  <c:v>4</c:v>
                </c:pt>
                <c:pt idx="18">
                  <c:v>7</c:v>
                </c:pt>
                <c:pt idx="19">
                  <c:v>3</c:v>
                </c:pt>
                <c:pt idx="20">
                  <c:v>3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7-4299-BC87-14AD7A486222}"/>
            </c:ext>
          </c:extLst>
        </c:ser>
        <c:ser>
          <c:idx val="1"/>
          <c:order val="1"/>
          <c:tx>
            <c:strRef>
              <c:f>'Feb Req'!$C$1</c:f>
              <c:strCache>
                <c:ptCount val="1"/>
                <c:pt idx="0">
                  <c:v>Emergency Req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'Feb Req'!$A$2:$A$24</c:f>
              <c:strCache>
                <c:ptCount val="23"/>
                <c:pt idx="0">
                  <c:v>14th</c:v>
                </c:pt>
                <c:pt idx="1">
                  <c:v>Bear Creek</c:v>
                </c:pt>
                <c:pt idx="2">
                  <c:v>Cactus</c:v>
                </c:pt>
                <c:pt idx="3">
                  <c:v>Canyon</c:v>
                </c:pt>
                <c:pt idx="4">
                  <c:v>Coachella</c:v>
                </c:pt>
                <c:pt idx="5">
                  <c:v>Corona Lincoln</c:v>
                </c:pt>
                <c:pt idx="6">
                  <c:v>Corona Plaza</c:v>
                </c:pt>
                <c:pt idx="7">
                  <c:v>Eastvale</c:v>
                </c:pt>
                <c:pt idx="8">
                  <c:v>Indio</c:v>
                </c:pt>
                <c:pt idx="9">
                  <c:v>Magnolia</c:v>
                </c:pt>
                <c:pt idx="10">
                  <c:v>Murrieta</c:v>
                </c:pt>
                <c:pt idx="11">
                  <c:v>Perris</c:v>
                </c:pt>
                <c:pt idx="12">
                  <c:v>Rancho</c:v>
                </c:pt>
                <c:pt idx="13">
                  <c:v>Riv Ave</c:v>
                </c:pt>
                <c:pt idx="14">
                  <c:v>San Jacinto</c:v>
                </c:pt>
                <c:pt idx="15">
                  <c:v>Silverhawk</c:v>
                </c:pt>
                <c:pt idx="16">
                  <c:v>Stoneridge</c:v>
                </c:pt>
                <c:pt idx="17">
                  <c:v>Sun City</c:v>
                </c:pt>
                <c:pt idx="18">
                  <c:v>Sun Lakes</c:v>
                </c:pt>
                <c:pt idx="19">
                  <c:v>Sunrise</c:v>
                </c:pt>
                <c:pt idx="20">
                  <c:v>University</c:v>
                </c:pt>
                <c:pt idx="21">
                  <c:v>West Hemet</c:v>
                </c:pt>
                <c:pt idx="22">
                  <c:v>Woodcrest</c:v>
                </c:pt>
              </c:strCache>
            </c:strRef>
          </c:cat>
          <c:val>
            <c:numRef>
              <c:f>'Feb Req'!$C$2:$C$24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27-4299-BC87-14AD7A486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2498015"/>
        <c:axId val="1998301087"/>
      </c:barChart>
      <c:catAx>
        <c:axId val="201249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301087"/>
        <c:crosses val="autoZero"/>
        <c:auto val="1"/>
        <c:lblAlgn val="ctr"/>
        <c:lblOffset val="100"/>
        <c:noMultiLvlLbl val="0"/>
      </c:catAx>
      <c:valAx>
        <c:axId val="199830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49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'Feb Req'!$D$1</c:f>
              <c:strCache>
                <c:ptCount val="1"/>
                <c:pt idx="0">
                  <c:v>Days Requested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'Feb Req'!$A$2:$A$24</c:f>
              <c:strCache>
                <c:ptCount val="23"/>
                <c:pt idx="0">
                  <c:v>14th</c:v>
                </c:pt>
                <c:pt idx="1">
                  <c:v>Bear Creek</c:v>
                </c:pt>
                <c:pt idx="2">
                  <c:v>Cactus</c:v>
                </c:pt>
                <c:pt idx="3">
                  <c:v>Canyon</c:v>
                </c:pt>
                <c:pt idx="4">
                  <c:v>Coachella</c:v>
                </c:pt>
                <c:pt idx="5">
                  <c:v>Corona Lincoln</c:v>
                </c:pt>
                <c:pt idx="6">
                  <c:v>Corona Plaza</c:v>
                </c:pt>
                <c:pt idx="7">
                  <c:v>Eastvale</c:v>
                </c:pt>
                <c:pt idx="8">
                  <c:v>Indio</c:v>
                </c:pt>
                <c:pt idx="9">
                  <c:v>Magnolia</c:v>
                </c:pt>
                <c:pt idx="10">
                  <c:v>Murrieta</c:v>
                </c:pt>
                <c:pt idx="11">
                  <c:v>Perris</c:v>
                </c:pt>
                <c:pt idx="12">
                  <c:v>Rancho</c:v>
                </c:pt>
                <c:pt idx="13">
                  <c:v>Riv Ave</c:v>
                </c:pt>
                <c:pt idx="14">
                  <c:v>San Jacinto</c:v>
                </c:pt>
                <c:pt idx="15">
                  <c:v>Silverhawk</c:v>
                </c:pt>
                <c:pt idx="16">
                  <c:v>Stoneridge</c:v>
                </c:pt>
                <c:pt idx="17">
                  <c:v>Sun City</c:v>
                </c:pt>
                <c:pt idx="18">
                  <c:v>Sun Lakes</c:v>
                </c:pt>
                <c:pt idx="19">
                  <c:v>Sunrise</c:v>
                </c:pt>
                <c:pt idx="20">
                  <c:v>University</c:v>
                </c:pt>
                <c:pt idx="21">
                  <c:v>West Hemet</c:v>
                </c:pt>
                <c:pt idx="22">
                  <c:v>Woodcrest</c:v>
                </c:pt>
              </c:strCache>
            </c:strRef>
          </c:cat>
          <c:val>
            <c:numRef>
              <c:f>'Feb Req'!$D$2:$D$24</c:f>
              <c:numCache>
                <c:formatCode>General</c:formatCode>
                <c:ptCount val="23"/>
                <c:pt idx="0">
                  <c:v>14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0</c:v>
                </c:pt>
                <c:pt idx="5">
                  <c:v>5</c:v>
                </c:pt>
                <c:pt idx="6">
                  <c:v>3</c:v>
                </c:pt>
                <c:pt idx="7">
                  <c:v>13</c:v>
                </c:pt>
                <c:pt idx="8">
                  <c:v>5</c:v>
                </c:pt>
                <c:pt idx="9">
                  <c:v>8</c:v>
                </c:pt>
                <c:pt idx="10">
                  <c:v>18</c:v>
                </c:pt>
                <c:pt idx="11">
                  <c:v>19</c:v>
                </c:pt>
                <c:pt idx="12">
                  <c:v>13</c:v>
                </c:pt>
                <c:pt idx="13">
                  <c:v>6</c:v>
                </c:pt>
                <c:pt idx="14">
                  <c:v>19</c:v>
                </c:pt>
                <c:pt idx="15">
                  <c:v>4</c:v>
                </c:pt>
                <c:pt idx="16">
                  <c:v>8</c:v>
                </c:pt>
                <c:pt idx="17">
                  <c:v>6</c:v>
                </c:pt>
                <c:pt idx="18">
                  <c:v>10</c:v>
                </c:pt>
                <c:pt idx="19">
                  <c:v>10</c:v>
                </c:pt>
                <c:pt idx="20">
                  <c:v>0</c:v>
                </c:pt>
                <c:pt idx="21">
                  <c:v>7</c:v>
                </c:pt>
                <c:pt idx="2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D-45A4-9067-9E0FBB5B1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884832"/>
        <c:axId val="466885312"/>
      </c:barChart>
      <c:catAx>
        <c:axId val="46688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885312"/>
        <c:crosses val="autoZero"/>
        <c:auto val="1"/>
        <c:lblAlgn val="ctr"/>
        <c:lblOffset val="100"/>
        <c:noMultiLvlLbl val="0"/>
      </c:catAx>
      <c:valAx>
        <c:axId val="46688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88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Deployment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'Feb Dep'!$D$1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'Feb Dep'!$A$2:$A$20</c:f>
              <c:numCache>
                <c:formatCode>m/d/yyyy</c:formatCode>
                <c:ptCount val="19"/>
                <c:pt idx="0">
                  <c:v>46055</c:v>
                </c:pt>
                <c:pt idx="1">
                  <c:v>46056</c:v>
                </c:pt>
                <c:pt idx="2">
                  <c:v>46057</c:v>
                </c:pt>
                <c:pt idx="3">
                  <c:v>46058</c:v>
                </c:pt>
                <c:pt idx="4">
                  <c:v>46059</c:v>
                </c:pt>
                <c:pt idx="5">
                  <c:v>46062</c:v>
                </c:pt>
                <c:pt idx="6">
                  <c:v>46063</c:v>
                </c:pt>
                <c:pt idx="7">
                  <c:v>46064</c:v>
                </c:pt>
                <c:pt idx="8">
                  <c:v>46065</c:v>
                </c:pt>
                <c:pt idx="9">
                  <c:v>46066</c:v>
                </c:pt>
                <c:pt idx="10">
                  <c:v>46070</c:v>
                </c:pt>
                <c:pt idx="11">
                  <c:v>46071</c:v>
                </c:pt>
                <c:pt idx="12">
                  <c:v>46072</c:v>
                </c:pt>
                <c:pt idx="13">
                  <c:v>46073</c:v>
                </c:pt>
                <c:pt idx="14">
                  <c:v>46076</c:v>
                </c:pt>
                <c:pt idx="15">
                  <c:v>46077</c:v>
                </c:pt>
                <c:pt idx="16">
                  <c:v>46078</c:v>
                </c:pt>
                <c:pt idx="17">
                  <c:v>46079</c:v>
                </c:pt>
                <c:pt idx="18">
                  <c:v>46080</c:v>
                </c:pt>
              </c:numCache>
            </c:numRef>
          </c:cat>
          <c:val>
            <c:numRef>
              <c:f>'Feb Dep'!$D$2:$D$20</c:f>
              <c:numCache>
                <c:formatCode>0%</c:formatCode>
                <c:ptCount val="19"/>
                <c:pt idx="0">
                  <c:v>0.84615384615384615</c:v>
                </c:pt>
                <c:pt idx="1">
                  <c:v>0.69230769230769229</c:v>
                </c:pt>
                <c:pt idx="2">
                  <c:v>0.92307692307692313</c:v>
                </c:pt>
                <c:pt idx="3">
                  <c:v>1</c:v>
                </c:pt>
                <c:pt idx="4">
                  <c:v>0.69230769230769229</c:v>
                </c:pt>
                <c:pt idx="5">
                  <c:v>0.69230769230769229</c:v>
                </c:pt>
                <c:pt idx="6">
                  <c:v>0.61538461538461542</c:v>
                </c:pt>
                <c:pt idx="7">
                  <c:v>0.84615384615384615</c:v>
                </c:pt>
                <c:pt idx="8">
                  <c:v>0.76923076923076927</c:v>
                </c:pt>
                <c:pt idx="9">
                  <c:v>0.76923076923076927</c:v>
                </c:pt>
                <c:pt idx="10">
                  <c:v>0.84615384615384615</c:v>
                </c:pt>
                <c:pt idx="11">
                  <c:v>0.69230769230769229</c:v>
                </c:pt>
                <c:pt idx="12">
                  <c:v>0.92307692307692313</c:v>
                </c:pt>
                <c:pt idx="13">
                  <c:v>0.84615384615384615</c:v>
                </c:pt>
                <c:pt idx="14">
                  <c:v>0.84615384615384615</c:v>
                </c:pt>
                <c:pt idx="15">
                  <c:v>0.92307692307692313</c:v>
                </c:pt>
                <c:pt idx="16">
                  <c:v>0.92307692307692313</c:v>
                </c:pt>
                <c:pt idx="17">
                  <c:v>0.84615384615384615</c:v>
                </c:pt>
                <c:pt idx="18">
                  <c:v>0.84615384615384615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7-48D3-B253-F87EFB113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8960607"/>
        <c:axId val="2088962527"/>
      </c:lineChart>
      <c:dateAx>
        <c:axId val="208896060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962527"/>
        <c:crosses val="autoZero"/>
        <c:auto val="1"/>
        <c:lblOffset val="100"/>
        <c:baseTimeUnit val="days"/>
      </c:dateAx>
      <c:valAx>
        <c:axId val="208896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960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Support</a:t>
            </a:r>
            <a:r>
              <a:rPr lang="en-US" baseline="0"/>
              <a:t> Requests-March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 Req'!$B$1</c:f>
              <c:strCache>
                <c:ptCount val="1"/>
                <c:pt idx="0">
                  <c:v>ESD/Email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 Req'!$A$2:$A$24</c:f>
              <c:strCache>
                <c:ptCount val="23"/>
                <c:pt idx="0">
                  <c:v>14th</c:v>
                </c:pt>
                <c:pt idx="1">
                  <c:v>Bear Creek</c:v>
                </c:pt>
                <c:pt idx="2">
                  <c:v>Cactus</c:v>
                </c:pt>
                <c:pt idx="3">
                  <c:v>Canyon</c:v>
                </c:pt>
                <c:pt idx="4">
                  <c:v>Coachella</c:v>
                </c:pt>
                <c:pt idx="5">
                  <c:v>Corona Lincoln</c:v>
                </c:pt>
                <c:pt idx="6">
                  <c:v>Corona Plaza</c:v>
                </c:pt>
                <c:pt idx="7">
                  <c:v>Eastvale</c:v>
                </c:pt>
                <c:pt idx="8">
                  <c:v>Indio</c:v>
                </c:pt>
                <c:pt idx="9">
                  <c:v>Magnolia</c:v>
                </c:pt>
                <c:pt idx="10">
                  <c:v>Murrieta</c:v>
                </c:pt>
                <c:pt idx="11">
                  <c:v>Perris</c:v>
                </c:pt>
                <c:pt idx="12">
                  <c:v>Rancho</c:v>
                </c:pt>
                <c:pt idx="13">
                  <c:v>Riv Ave</c:v>
                </c:pt>
                <c:pt idx="14">
                  <c:v>San Jacinto</c:v>
                </c:pt>
                <c:pt idx="15">
                  <c:v>Silverhawk</c:v>
                </c:pt>
                <c:pt idx="16">
                  <c:v>Stoneridge</c:v>
                </c:pt>
                <c:pt idx="17">
                  <c:v>Sun City</c:v>
                </c:pt>
                <c:pt idx="18">
                  <c:v>Sun Lakes</c:v>
                </c:pt>
                <c:pt idx="19">
                  <c:v>Sunrise</c:v>
                </c:pt>
                <c:pt idx="20">
                  <c:v>University</c:v>
                </c:pt>
                <c:pt idx="21">
                  <c:v>West Hemet</c:v>
                </c:pt>
                <c:pt idx="22">
                  <c:v>Woodcrest</c:v>
                </c:pt>
              </c:strCache>
            </c:strRef>
          </c:cat>
          <c:val>
            <c:numRef>
              <c:f>'Mar Req'!$B$2:$B$24</c:f>
              <c:numCache>
                <c:formatCode>General</c:formatCode>
                <c:ptCount val="23"/>
                <c:pt idx="0">
                  <c:v>8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5</c:v>
                </c:pt>
                <c:pt idx="10">
                  <c:v>2</c:v>
                </c:pt>
                <c:pt idx="11">
                  <c:v>2</c:v>
                </c:pt>
                <c:pt idx="12">
                  <c:v>6</c:v>
                </c:pt>
                <c:pt idx="13">
                  <c:v>7</c:v>
                </c:pt>
                <c:pt idx="14">
                  <c:v>1</c:v>
                </c:pt>
                <c:pt idx="15">
                  <c:v>8</c:v>
                </c:pt>
                <c:pt idx="16">
                  <c:v>4</c:v>
                </c:pt>
                <c:pt idx="17">
                  <c:v>5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FD-4912-944D-03DE03EA6D98}"/>
            </c:ext>
          </c:extLst>
        </c:ser>
        <c:ser>
          <c:idx val="1"/>
          <c:order val="1"/>
          <c:tx>
            <c:strRef>
              <c:f>'Mar Req'!$C$1</c:f>
              <c:strCache>
                <c:ptCount val="1"/>
                <c:pt idx="0">
                  <c:v>Emergency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 Req'!$A$2:$A$24</c:f>
              <c:strCache>
                <c:ptCount val="23"/>
                <c:pt idx="0">
                  <c:v>14th</c:v>
                </c:pt>
                <c:pt idx="1">
                  <c:v>Bear Creek</c:v>
                </c:pt>
                <c:pt idx="2">
                  <c:v>Cactus</c:v>
                </c:pt>
                <c:pt idx="3">
                  <c:v>Canyon</c:v>
                </c:pt>
                <c:pt idx="4">
                  <c:v>Coachella</c:v>
                </c:pt>
                <c:pt idx="5">
                  <c:v>Corona Lincoln</c:v>
                </c:pt>
                <c:pt idx="6">
                  <c:v>Corona Plaza</c:v>
                </c:pt>
                <c:pt idx="7">
                  <c:v>Eastvale</c:v>
                </c:pt>
                <c:pt idx="8">
                  <c:v>Indio</c:v>
                </c:pt>
                <c:pt idx="9">
                  <c:v>Magnolia</c:v>
                </c:pt>
                <c:pt idx="10">
                  <c:v>Murrieta</c:v>
                </c:pt>
                <c:pt idx="11">
                  <c:v>Perris</c:v>
                </c:pt>
                <c:pt idx="12">
                  <c:v>Rancho</c:v>
                </c:pt>
                <c:pt idx="13">
                  <c:v>Riv Ave</c:v>
                </c:pt>
                <c:pt idx="14">
                  <c:v>San Jacinto</c:v>
                </c:pt>
                <c:pt idx="15">
                  <c:v>Silverhawk</c:v>
                </c:pt>
                <c:pt idx="16">
                  <c:v>Stoneridge</c:v>
                </c:pt>
                <c:pt idx="17">
                  <c:v>Sun City</c:v>
                </c:pt>
                <c:pt idx="18">
                  <c:v>Sun Lakes</c:v>
                </c:pt>
                <c:pt idx="19">
                  <c:v>Sunrise</c:v>
                </c:pt>
                <c:pt idx="20">
                  <c:v>University</c:v>
                </c:pt>
                <c:pt idx="21">
                  <c:v>West Hemet</c:v>
                </c:pt>
                <c:pt idx="22">
                  <c:v>Woodcrest</c:v>
                </c:pt>
              </c:strCache>
            </c:strRef>
          </c:cat>
          <c:val>
            <c:numRef>
              <c:f>'Mar Req'!$C$2:$C$24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FD-4912-944D-03DE03EA6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27879104"/>
        <c:axId val="227879584"/>
      </c:barChart>
      <c:catAx>
        <c:axId val="22787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879584"/>
        <c:crosses val="autoZero"/>
        <c:auto val="1"/>
        <c:lblAlgn val="ctr"/>
        <c:lblOffset val="100"/>
        <c:noMultiLvlLbl val="0"/>
      </c:catAx>
      <c:valAx>
        <c:axId val="22787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87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Days Requested-March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 Req'!$D$1</c:f>
              <c:strCache>
                <c:ptCount val="1"/>
                <c:pt idx="0">
                  <c:v>Days Requested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 Req'!$A$2:$A$24</c:f>
              <c:strCache>
                <c:ptCount val="23"/>
                <c:pt idx="0">
                  <c:v>14th</c:v>
                </c:pt>
                <c:pt idx="1">
                  <c:v>Bear Creek</c:v>
                </c:pt>
                <c:pt idx="2">
                  <c:v>Cactus</c:v>
                </c:pt>
                <c:pt idx="3">
                  <c:v>Canyon</c:v>
                </c:pt>
                <c:pt idx="4">
                  <c:v>Coachella</c:v>
                </c:pt>
                <c:pt idx="5">
                  <c:v>Corona Lincoln</c:v>
                </c:pt>
                <c:pt idx="6">
                  <c:v>Corona Plaza</c:v>
                </c:pt>
                <c:pt idx="7">
                  <c:v>Eastvale</c:v>
                </c:pt>
                <c:pt idx="8">
                  <c:v>Indio</c:v>
                </c:pt>
                <c:pt idx="9">
                  <c:v>Magnolia</c:v>
                </c:pt>
                <c:pt idx="10">
                  <c:v>Murrieta</c:v>
                </c:pt>
                <c:pt idx="11">
                  <c:v>Perris</c:v>
                </c:pt>
                <c:pt idx="12">
                  <c:v>Rancho</c:v>
                </c:pt>
                <c:pt idx="13">
                  <c:v>Riv Ave</c:v>
                </c:pt>
                <c:pt idx="14">
                  <c:v>San Jacinto</c:v>
                </c:pt>
                <c:pt idx="15">
                  <c:v>Silverhawk</c:v>
                </c:pt>
                <c:pt idx="16">
                  <c:v>Stoneridge</c:v>
                </c:pt>
                <c:pt idx="17">
                  <c:v>Sun City</c:v>
                </c:pt>
                <c:pt idx="18">
                  <c:v>Sun Lakes</c:v>
                </c:pt>
                <c:pt idx="19">
                  <c:v>Sunrise</c:v>
                </c:pt>
                <c:pt idx="20">
                  <c:v>University</c:v>
                </c:pt>
                <c:pt idx="21">
                  <c:v>West Hemet</c:v>
                </c:pt>
                <c:pt idx="22">
                  <c:v>Woodcrest</c:v>
                </c:pt>
              </c:strCache>
            </c:strRef>
          </c:cat>
          <c:val>
            <c:numRef>
              <c:f>'Mar Req'!$D$2:$D$24</c:f>
              <c:numCache>
                <c:formatCode>General</c:formatCode>
                <c:ptCount val="23"/>
                <c:pt idx="0">
                  <c:v>11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10</c:v>
                </c:pt>
                <c:pt idx="6">
                  <c:v>6</c:v>
                </c:pt>
                <c:pt idx="7">
                  <c:v>12</c:v>
                </c:pt>
                <c:pt idx="8">
                  <c:v>3</c:v>
                </c:pt>
                <c:pt idx="9">
                  <c:v>7</c:v>
                </c:pt>
                <c:pt idx="10">
                  <c:v>9</c:v>
                </c:pt>
                <c:pt idx="11">
                  <c:v>13</c:v>
                </c:pt>
                <c:pt idx="12">
                  <c:v>8</c:v>
                </c:pt>
                <c:pt idx="13">
                  <c:v>6</c:v>
                </c:pt>
                <c:pt idx="14">
                  <c:v>12</c:v>
                </c:pt>
                <c:pt idx="15">
                  <c:v>4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3</c:v>
                </c:pt>
                <c:pt idx="20">
                  <c:v>5</c:v>
                </c:pt>
                <c:pt idx="21">
                  <c:v>0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B-4CB0-BFF6-379362640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8826272"/>
        <c:axId val="348847872"/>
      </c:barChart>
      <c:catAx>
        <c:axId val="3488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847872"/>
        <c:crosses val="autoZero"/>
        <c:auto val="1"/>
        <c:lblAlgn val="ctr"/>
        <c:lblOffset val="100"/>
        <c:noMultiLvlLbl val="0"/>
      </c:catAx>
      <c:valAx>
        <c:axId val="34884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82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Deployment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'Mar Dep'!$A$2:$A$23</c:f>
              <c:numCache>
                <c:formatCode>m/d/yy;@</c:formatCode>
                <c:ptCount val="22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46090</c:v>
                </c:pt>
                <c:pt idx="6">
                  <c:v>46091</c:v>
                </c:pt>
                <c:pt idx="7">
                  <c:v>46092</c:v>
                </c:pt>
                <c:pt idx="8">
                  <c:v>46093</c:v>
                </c:pt>
                <c:pt idx="9">
                  <c:v>46094</c:v>
                </c:pt>
                <c:pt idx="10">
                  <c:v>46097</c:v>
                </c:pt>
                <c:pt idx="11">
                  <c:v>46098</c:v>
                </c:pt>
                <c:pt idx="12">
                  <c:v>46099</c:v>
                </c:pt>
                <c:pt idx="13">
                  <c:v>46100</c:v>
                </c:pt>
                <c:pt idx="14">
                  <c:v>46101</c:v>
                </c:pt>
                <c:pt idx="15">
                  <c:v>46104</c:v>
                </c:pt>
                <c:pt idx="16">
                  <c:v>46105</c:v>
                </c:pt>
                <c:pt idx="17">
                  <c:v>46106</c:v>
                </c:pt>
                <c:pt idx="18">
                  <c:v>46107</c:v>
                </c:pt>
                <c:pt idx="19">
                  <c:v>46108</c:v>
                </c:pt>
                <c:pt idx="20">
                  <c:v>46111</c:v>
                </c:pt>
                <c:pt idx="21">
                  <c:v>46112</c:v>
                </c:pt>
              </c:numCache>
            </c:numRef>
          </c:cat>
          <c:val>
            <c:numRef>
              <c:f>'Mar Dep'!$D$2:$D$23</c:f>
              <c:numCache>
                <c:formatCode>0%</c:formatCode>
                <c:ptCount val="22"/>
                <c:pt idx="0">
                  <c:v>0.84615384615384615</c:v>
                </c:pt>
                <c:pt idx="1">
                  <c:v>0.92307692307692313</c:v>
                </c:pt>
                <c:pt idx="2">
                  <c:v>0.84615384615384615</c:v>
                </c:pt>
                <c:pt idx="3">
                  <c:v>0.92307692307692313</c:v>
                </c:pt>
                <c:pt idx="4">
                  <c:v>0.69230769230769229</c:v>
                </c:pt>
                <c:pt idx="5">
                  <c:v>0.69230769230769229</c:v>
                </c:pt>
                <c:pt idx="6">
                  <c:v>1</c:v>
                </c:pt>
                <c:pt idx="7">
                  <c:v>0.76923076923076927</c:v>
                </c:pt>
                <c:pt idx="8">
                  <c:v>0.84615384615384615</c:v>
                </c:pt>
                <c:pt idx="9">
                  <c:v>0.92307692307692313</c:v>
                </c:pt>
                <c:pt idx="10">
                  <c:v>0.92307692307692313</c:v>
                </c:pt>
                <c:pt idx="11">
                  <c:v>0.84615384615384615</c:v>
                </c:pt>
                <c:pt idx="12">
                  <c:v>0.76923076923076927</c:v>
                </c:pt>
                <c:pt idx="13">
                  <c:v>0.76923076923076927</c:v>
                </c:pt>
                <c:pt idx="14">
                  <c:v>0.84615384615384615</c:v>
                </c:pt>
                <c:pt idx="15">
                  <c:v>0.69230769230769229</c:v>
                </c:pt>
                <c:pt idx="16">
                  <c:v>0.84615384615384615</c:v>
                </c:pt>
                <c:pt idx="17">
                  <c:v>0.76923076923076927</c:v>
                </c:pt>
                <c:pt idx="18">
                  <c:v>0.84615384615384615</c:v>
                </c:pt>
                <c:pt idx="19">
                  <c:v>0.92307692307692313</c:v>
                </c:pt>
                <c:pt idx="20">
                  <c:v>0.81818181818181823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E5-4D55-ABD6-4E844FC88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468144"/>
        <c:axId val="444464784"/>
      </c:lineChart>
      <c:dateAx>
        <c:axId val="444468144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64784"/>
        <c:crosses val="autoZero"/>
        <c:auto val="1"/>
        <c:lblOffset val="100"/>
        <c:baseTimeUnit val="days"/>
      </c:dateAx>
      <c:valAx>
        <c:axId val="44446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6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Support</a:t>
            </a:r>
            <a:r>
              <a:rPr lang="en-US" baseline="0"/>
              <a:t> Requests- April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'Apr Req'!$B$1</c:f>
              <c:strCache>
                <c:ptCount val="1"/>
                <c:pt idx="0">
                  <c:v>ESD/Email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'Apr Req'!$A$2:$A$24</c:f>
              <c:strCache>
                <c:ptCount val="23"/>
                <c:pt idx="0">
                  <c:v>14th</c:v>
                </c:pt>
                <c:pt idx="1">
                  <c:v>Bear Creek</c:v>
                </c:pt>
                <c:pt idx="2">
                  <c:v>Cactus</c:v>
                </c:pt>
                <c:pt idx="3">
                  <c:v>Canyon</c:v>
                </c:pt>
                <c:pt idx="4">
                  <c:v>Coachella</c:v>
                </c:pt>
                <c:pt idx="5">
                  <c:v>Corona Lincoln</c:v>
                </c:pt>
                <c:pt idx="6">
                  <c:v>Corona Plaza</c:v>
                </c:pt>
                <c:pt idx="7">
                  <c:v>Eastvale</c:v>
                </c:pt>
                <c:pt idx="8">
                  <c:v>Indio</c:v>
                </c:pt>
                <c:pt idx="9">
                  <c:v>Magnolia</c:v>
                </c:pt>
                <c:pt idx="10">
                  <c:v>Murrieta</c:v>
                </c:pt>
                <c:pt idx="11">
                  <c:v>Perris</c:v>
                </c:pt>
                <c:pt idx="12">
                  <c:v>Rancho</c:v>
                </c:pt>
                <c:pt idx="13">
                  <c:v>Riv Ave</c:v>
                </c:pt>
                <c:pt idx="14">
                  <c:v>San Jacinto</c:v>
                </c:pt>
                <c:pt idx="15">
                  <c:v>Silverhawk</c:v>
                </c:pt>
                <c:pt idx="16">
                  <c:v>Stoneridge</c:v>
                </c:pt>
                <c:pt idx="17">
                  <c:v>Sun City</c:v>
                </c:pt>
                <c:pt idx="18">
                  <c:v>Sun Lakes</c:v>
                </c:pt>
                <c:pt idx="19">
                  <c:v>Sunrise</c:v>
                </c:pt>
                <c:pt idx="20">
                  <c:v>University</c:v>
                </c:pt>
                <c:pt idx="21">
                  <c:v>West Hemet</c:v>
                </c:pt>
                <c:pt idx="22">
                  <c:v>Woodcrest</c:v>
                </c:pt>
              </c:strCache>
            </c:strRef>
          </c:cat>
          <c:val>
            <c:numRef>
              <c:f>'Apr Req'!$B$2:$B$24</c:f>
              <c:numCache>
                <c:formatCode>General</c:formatCode>
                <c:ptCount val="23"/>
                <c:pt idx="0">
                  <c:v>6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0</c:v>
                </c:pt>
                <c:pt idx="16">
                  <c:v>3</c:v>
                </c:pt>
                <c:pt idx="17">
                  <c:v>7</c:v>
                </c:pt>
                <c:pt idx="18">
                  <c:v>2</c:v>
                </c:pt>
                <c:pt idx="19">
                  <c:v>0</c:v>
                </c:pt>
                <c:pt idx="20">
                  <c:v>2</c:v>
                </c:pt>
                <c:pt idx="21">
                  <c:v>3</c:v>
                </c:pt>
                <c:pt idx="2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F-4C67-9A1A-62319B8906DA}"/>
            </c:ext>
          </c:extLst>
        </c:ser>
        <c:ser>
          <c:idx val="1"/>
          <c:order val="1"/>
          <c:tx>
            <c:strRef>
              <c:f>'Apr Req'!$C$1</c:f>
              <c:strCache>
                <c:ptCount val="1"/>
                <c:pt idx="0">
                  <c:v>Emergency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'Apr Req'!$A$2:$A$24</c:f>
              <c:strCache>
                <c:ptCount val="23"/>
                <c:pt idx="0">
                  <c:v>14th</c:v>
                </c:pt>
                <c:pt idx="1">
                  <c:v>Bear Creek</c:v>
                </c:pt>
                <c:pt idx="2">
                  <c:v>Cactus</c:v>
                </c:pt>
                <c:pt idx="3">
                  <c:v>Canyon</c:v>
                </c:pt>
                <c:pt idx="4">
                  <c:v>Coachella</c:v>
                </c:pt>
                <c:pt idx="5">
                  <c:v>Corona Lincoln</c:v>
                </c:pt>
                <c:pt idx="6">
                  <c:v>Corona Plaza</c:v>
                </c:pt>
                <c:pt idx="7">
                  <c:v>Eastvale</c:v>
                </c:pt>
                <c:pt idx="8">
                  <c:v>Indio</c:v>
                </c:pt>
                <c:pt idx="9">
                  <c:v>Magnolia</c:v>
                </c:pt>
                <c:pt idx="10">
                  <c:v>Murrieta</c:v>
                </c:pt>
                <c:pt idx="11">
                  <c:v>Perris</c:v>
                </c:pt>
                <c:pt idx="12">
                  <c:v>Rancho</c:v>
                </c:pt>
                <c:pt idx="13">
                  <c:v>Riv Ave</c:v>
                </c:pt>
                <c:pt idx="14">
                  <c:v>San Jacinto</c:v>
                </c:pt>
                <c:pt idx="15">
                  <c:v>Silverhawk</c:v>
                </c:pt>
                <c:pt idx="16">
                  <c:v>Stoneridge</c:v>
                </c:pt>
                <c:pt idx="17">
                  <c:v>Sun City</c:v>
                </c:pt>
                <c:pt idx="18">
                  <c:v>Sun Lakes</c:v>
                </c:pt>
                <c:pt idx="19">
                  <c:v>Sunrise</c:v>
                </c:pt>
                <c:pt idx="20">
                  <c:v>University</c:v>
                </c:pt>
                <c:pt idx="21">
                  <c:v>West Hemet</c:v>
                </c:pt>
                <c:pt idx="22">
                  <c:v>Woodcrest</c:v>
                </c:pt>
              </c:strCache>
            </c:strRef>
          </c:cat>
          <c:val>
            <c:numRef>
              <c:f>'Apr Req'!$C$2:$C$24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F-4C67-9A1A-62319B890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094527"/>
        <c:axId val="1763106047"/>
      </c:barChart>
      <c:catAx>
        <c:axId val="176309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106047"/>
        <c:crosses val="autoZero"/>
        <c:auto val="1"/>
        <c:lblAlgn val="ctr"/>
        <c:lblOffset val="100"/>
        <c:noMultiLvlLbl val="0"/>
      </c:catAx>
      <c:valAx>
        <c:axId val="176310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09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Days Requested- April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'Apr Req'!$D$1</c:f>
              <c:strCache>
                <c:ptCount val="1"/>
                <c:pt idx="0">
                  <c:v>Days Requested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'Apr Req'!$A$2:$A$24</c:f>
              <c:strCache>
                <c:ptCount val="23"/>
                <c:pt idx="0">
                  <c:v>14th</c:v>
                </c:pt>
                <c:pt idx="1">
                  <c:v>Bear Creek</c:v>
                </c:pt>
                <c:pt idx="2">
                  <c:v>Cactus</c:v>
                </c:pt>
                <c:pt idx="3">
                  <c:v>Canyon</c:v>
                </c:pt>
                <c:pt idx="4">
                  <c:v>Coachella</c:v>
                </c:pt>
                <c:pt idx="5">
                  <c:v>Corona Lincoln</c:v>
                </c:pt>
                <c:pt idx="6">
                  <c:v>Corona Plaza</c:v>
                </c:pt>
                <c:pt idx="7">
                  <c:v>Eastvale</c:v>
                </c:pt>
                <c:pt idx="8">
                  <c:v>Indio</c:v>
                </c:pt>
                <c:pt idx="9">
                  <c:v>Magnolia</c:v>
                </c:pt>
                <c:pt idx="10">
                  <c:v>Murrieta</c:v>
                </c:pt>
                <c:pt idx="11">
                  <c:v>Perris</c:v>
                </c:pt>
                <c:pt idx="12">
                  <c:v>Rancho</c:v>
                </c:pt>
                <c:pt idx="13">
                  <c:v>Riv Ave</c:v>
                </c:pt>
                <c:pt idx="14">
                  <c:v>San Jacinto</c:v>
                </c:pt>
                <c:pt idx="15">
                  <c:v>Silverhawk</c:v>
                </c:pt>
                <c:pt idx="16">
                  <c:v>Stoneridge</c:v>
                </c:pt>
                <c:pt idx="17">
                  <c:v>Sun City</c:v>
                </c:pt>
                <c:pt idx="18">
                  <c:v>Sun Lakes</c:v>
                </c:pt>
                <c:pt idx="19">
                  <c:v>Sunrise</c:v>
                </c:pt>
                <c:pt idx="20">
                  <c:v>University</c:v>
                </c:pt>
                <c:pt idx="21">
                  <c:v>West Hemet</c:v>
                </c:pt>
                <c:pt idx="22">
                  <c:v>Woodcrest</c:v>
                </c:pt>
              </c:strCache>
            </c:strRef>
          </c:cat>
          <c:val>
            <c:numRef>
              <c:f>'Apr Req'!$D$2:$D$24</c:f>
              <c:numCache>
                <c:formatCode>General</c:formatCode>
                <c:ptCount val="23"/>
                <c:pt idx="0">
                  <c:v>6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7</c:v>
                </c:pt>
                <c:pt idx="5">
                  <c:v>22</c:v>
                </c:pt>
                <c:pt idx="6">
                  <c:v>5</c:v>
                </c:pt>
                <c:pt idx="7">
                  <c:v>16</c:v>
                </c:pt>
                <c:pt idx="8">
                  <c:v>3</c:v>
                </c:pt>
                <c:pt idx="9">
                  <c:v>12</c:v>
                </c:pt>
                <c:pt idx="10">
                  <c:v>3</c:v>
                </c:pt>
                <c:pt idx="11">
                  <c:v>16</c:v>
                </c:pt>
                <c:pt idx="12">
                  <c:v>8</c:v>
                </c:pt>
                <c:pt idx="13">
                  <c:v>1</c:v>
                </c:pt>
                <c:pt idx="14">
                  <c:v>9</c:v>
                </c:pt>
                <c:pt idx="15">
                  <c:v>3</c:v>
                </c:pt>
                <c:pt idx="16">
                  <c:v>12</c:v>
                </c:pt>
                <c:pt idx="17">
                  <c:v>13</c:v>
                </c:pt>
                <c:pt idx="18">
                  <c:v>5</c:v>
                </c:pt>
                <c:pt idx="19">
                  <c:v>6</c:v>
                </c:pt>
                <c:pt idx="20">
                  <c:v>4</c:v>
                </c:pt>
                <c:pt idx="21">
                  <c:v>1</c:v>
                </c:pt>
                <c:pt idx="2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C-4EE7-8B29-7C3434CB8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3913919"/>
        <c:axId val="1703935999"/>
      </c:barChart>
      <c:catAx>
        <c:axId val="170391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35999"/>
        <c:crosses val="autoZero"/>
        <c:auto val="1"/>
        <c:lblAlgn val="ctr"/>
        <c:lblOffset val="100"/>
        <c:noMultiLvlLbl val="0"/>
      </c:catAx>
      <c:valAx>
        <c:axId val="170393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1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RSS Deployment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'Apr Dep'!$D$1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'Apr Dep'!$A$2:$A$23</c:f>
              <c:numCache>
                <c:formatCode>m/d/yyyy</c:formatCode>
                <c:ptCount val="22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46118</c:v>
                </c:pt>
                <c:pt idx="4">
                  <c:v>46119</c:v>
                </c:pt>
                <c:pt idx="5">
                  <c:v>46120</c:v>
                </c:pt>
                <c:pt idx="6">
                  <c:v>46121</c:v>
                </c:pt>
                <c:pt idx="7">
                  <c:v>46122</c:v>
                </c:pt>
                <c:pt idx="8">
                  <c:v>46125</c:v>
                </c:pt>
                <c:pt idx="9">
                  <c:v>46126</c:v>
                </c:pt>
                <c:pt idx="10">
                  <c:v>46127</c:v>
                </c:pt>
                <c:pt idx="11">
                  <c:v>46128</c:v>
                </c:pt>
                <c:pt idx="12">
                  <c:v>46129</c:v>
                </c:pt>
                <c:pt idx="13">
                  <c:v>46132</c:v>
                </c:pt>
                <c:pt idx="14">
                  <c:v>46133</c:v>
                </c:pt>
                <c:pt idx="15">
                  <c:v>46134</c:v>
                </c:pt>
                <c:pt idx="16">
                  <c:v>46135</c:v>
                </c:pt>
                <c:pt idx="17">
                  <c:v>46136</c:v>
                </c:pt>
                <c:pt idx="18">
                  <c:v>46139</c:v>
                </c:pt>
                <c:pt idx="19">
                  <c:v>46140</c:v>
                </c:pt>
                <c:pt idx="20">
                  <c:v>46141</c:v>
                </c:pt>
                <c:pt idx="21">
                  <c:v>46142</c:v>
                </c:pt>
              </c:numCache>
            </c:numRef>
          </c:cat>
          <c:val>
            <c:numRef>
              <c:f>'Apr Dep'!$D$2:$D$23</c:f>
              <c:numCache>
                <c:formatCode>0%</c:formatCode>
                <c:ptCount val="22"/>
                <c:pt idx="0">
                  <c:v>0.81818181818181823</c:v>
                </c:pt>
                <c:pt idx="1">
                  <c:v>0.90909090909090906</c:v>
                </c:pt>
                <c:pt idx="2">
                  <c:v>0.90909090909090906</c:v>
                </c:pt>
                <c:pt idx="3">
                  <c:v>1</c:v>
                </c:pt>
                <c:pt idx="4">
                  <c:v>0.90909090909090906</c:v>
                </c:pt>
                <c:pt idx="5">
                  <c:v>0.90909090909090906</c:v>
                </c:pt>
                <c:pt idx="6">
                  <c:v>0.8</c:v>
                </c:pt>
                <c:pt idx="7">
                  <c:v>0.9</c:v>
                </c:pt>
                <c:pt idx="8">
                  <c:v>0.88888888888888884</c:v>
                </c:pt>
                <c:pt idx="9">
                  <c:v>0.77777777777777779</c:v>
                </c:pt>
                <c:pt idx="10">
                  <c:v>1</c:v>
                </c:pt>
                <c:pt idx="11">
                  <c:v>0.88888888888888884</c:v>
                </c:pt>
                <c:pt idx="12">
                  <c:v>0.88888888888888884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0.88888888888888884</c:v>
                </c:pt>
                <c:pt idx="18">
                  <c:v>1</c:v>
                </c:pt>
                <c:pt idx="19">
                  <c:v>0.66666666666666663</c:v>
                </c:pt>
                <c:pt idx="20">
                  <c:v>0.77777777777777779</c:v>
                </c:pt>
                <c:pt idx="21">
                  <c:v>0.77777777777777779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4-47C7-8D3A-BD0E373768CA}"/>
            </c:ext>
          </c:extLst>
        </c:ser>
        <c:ser>
          <c:idx val="1"/>
          <c:order val="1"/>
          <c:tx>
            <c:v>Target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'Apr Dep'!$E$2:$E$23</c:f>
              <c:numCache>
                <c:formatCode>0%</c:formatCode>
                <c:ptCount val="2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1E-4EEC-9E58-0D6FFFD4E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5406559"/>
        <c:axId val="1765402719"/>
      </c:lineChart>
      <c:dateAx>
        <c:axId val="1765406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02719"/>
        <c:crosses val="autoZero"/>
        <c:auto val="1"/>
        <c:lblOffset val="100"/>
        <c:baseTimeUnit val="days"/>
      </c:dateAx>
      <c:valAx>
        <c:axId val="176540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Deployed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0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Support</a:t>
            </a:r>
            <a:r>
              <a:rPr lang="en-US" baseline="0"/>
              <a:t> Requests- May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'May Req'!$B$1</c:f>
              <c:strCache>
                <c:ptCount val="1"/>
                <c:pt idx="0">
                  <c:v>ESD/Email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'May Req'!$A$2:$A$24</c:f>
              <c:strCache>
                <c:ptCount val="23"/>
                <c:pt idx="0">
                  <c:v>14th</c:v>
                </c:pt>
                <c:pt idx="1">
                  <c:v>Bear Creek</c:v>
                </c:pt>
                <c:pt idx="2">
                  <c:v>Cactus</c:v>
                </c:pt>
                <c:pt idx="3">
                  <c:v>Canyon</c:v>
                </c:pt>
                <c:pt idx="4">
                  <c:v>Coachella</c:v>
                </c:pt>
                <c:pt idx="5">
                  <c:v>Corona Lincoln</c:v>
                </c:pt>
                <c:pt idx="6">
                  <c:v>Corona Plaza</c:v>
                </c:pt>
                <c:pt idx="7">
                  <c:v>Eastvale</c:v>
                </c:pt>
                <c:pt idx="8">
                  <c:v>Indio</c:v>
                </c:pt>
                <c:pt idx="9">
                  <c:v>Magnolia</c:v>
                </c:pt>
                <c:pt idx="10">
                  <c:v>Murrieta</c:v>
                </c:pt>
                <c:pt idx="11">
                  <c:v>Perris</c:v>
                </c:pt>
                <c:pt idx="12">
                  <c:v>Rancho</c:v>
                </c:pt>
                <c:pt idx="13">
                  <c:v>Riv Ave</c:v>
                </c:pt>
                <c:pt idx="14">
                  <c:v>San Jacinto</c:v>
                </c:pt>
                <c:pt idx="15">
                  <c:v>Silverhawk</c:v>
                </c:pt>
                <c:pt idx="16">
                  <c:v>Stoneridge</c:v>
                </c:pt>
                <c:pt idx="17">
                  <c:v>Sun City</c:v>
                </c:pt>
                <c:pt idx="18">
                  <c:v>Sun Lakes</c:v>
                </c:pt>
                <c:pt idx="19">
                  <c:v>Sunrise</c:v>
                </c:pt>
                <c:pt idx="20">
                  <c:v>University</c:v>
                </c:pt>
                <c:pt idx="21">
                  <c:v>West Hemet</c:v>
                </c:pt>
                <c:pt idx="22">
                  <c:v>Woodcrest</c:v>
                </c:pt>
              </c:strCache>
            </c:strRef>
          </c:cat>
          <c:val>
            <c:numRef>
              <c:f>'May Req'!$B$2:$B$24</c:f>
              <c:numCache>
                <c:formatCode>General</c:formatCode>
                <c:ptCount val="23"/>
                <c:pt idx="0">
                  <c:v>5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9</c:v>
                </c:pt>
                <c:pt idx="10">
                  <c:v>0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9</c:v>
                </c:pt>
                <c:pt idx="19">
                  <c:v>3</c:v>
                </c:pt>
                <c:pt idx="20">
                  <c:v>0</c:v>
                </c:pt>
                <c:pt idx="21">
                  <c:v>2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C-4D07-9D9A-81A34276C264}"/>
            </c:ext>
          </c:extLst>
        </c:ser>
        <c:ser>
          <c:idx val="1"/>
          <c:order val="1"/>
          <c:tx>
            <c:strRef>
              <c:f>'May Req'!$C$1</c:f>
              <c:strCache>
                <c:ptCount val="1"/>
                <c:pt idx="0">
                  <c:v>Emergency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'May Req'!$A$2:$A$24</c:f>
              <c:strCache>
                <c:ptCount val="23"/>
                <c:pt idx="0">
                  <c:v>14th</c:v>
                </c:pt>
                <c:pt idx="1">
                  <c:v>Bear Creek</c:v>
                </c:pt>
                <c:pt idx="2">
                  <c:v>Cactus</c:v>
                </c:pt>
                <c:pt idx="3">
                  <c:v>Canyon</c:v>
                </c:pt>
                <c:pt idx="4">
                  <c:v>Coachella</c:v>
                </c:pt>
                <c:pt idx="5">
                  <c:v>Corona Lincoln</c:v>
                </c:pt>
                <c:pt idx="6">
                  <c:v>Corona Plaza</c:v>
                </c:pt>
                <c:pt idx="7">
                  <c:v>Eastvale</c:v>
                </c:pt>
                <c:pt idx="8">
                  <c:v>Indio</c:v>
                </c:pt>
                <c:pt idx="9">
                  <c:v>Magnolia</c:v>
                </c:pt>
                <c:pt idx="10">
                  <c:v>Murrieta</c:v>
                </c:pt>
                <c:pt idx="11">
                  <c:v>Perris</c:v>
                </c:pt>
                <c:pt idx="12">
                  <c:v>Rancho</c:v>
                </c:pt>
                <c:pt idx="13">
                  <c:v>Riv Ave</c:v>
                </c:pt>
                <c:pt idx="14">
                  <c:v>San Jacinto</c:v>
                </c:pt>
                <c:pt idx="15">
                  <c:v>Silverhawk</c:v>
                </c:pt>
                <c:pt idx="16">
                  <c:v>Stoneridge</c:v>
                </c:pt>
                <c:pt idx="17">
                  <c:v>Sun City</c:v>
                </c:pt>
                <c:pt idx="18">
                  <c:v>Sun Lakes</c:v>
                </c:pt>
                <c:pt idx="19">
                  <c:v>Sunrise</c:v>
                </c:pt>
                <c:pt idx="20">
                  <c:v>University</c:v>
                </c:pt>
                <c:pt idx="21">
                  <c:v>West Hemet</c:v>
                </c:pt>
                <c:pt idx="22">
                  <c:v>Woodcrest</c:v>
                </c:pt>
              </c:strCache>
            </c:strRef>
          </c:cat>
          <c:val>
            <c:numRef>
              <c:f>'May Req'!$C$2:$C$24</c:f>
              <c:numCache>
                <c:formatCode>General</c:formatCode>
                <c:ptCount val="23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4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AC-4D07-9D9A-81A34276C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094527"/>
        <c:axId val="1763106047"/>
      </c:barChart>
      <c:catAx>
        <c:axId val="176309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106047"/>
        <c:crosses val="autoZero"/>
        <c:auto val="1"/>
        <c:lblAlgn val="ctr"/>
        <c:lblOffset val="100"/>
        <c:noMultiLvlLbl val="0"/>
      </c:catAx>
      <c:valAx>
        <c:axId val="176310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09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Days Requested- May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'May Req'!$D$1</c:f>
              <c:strCache>
                <c:ptCount val="1"/>
                <c:pt idx="0">
                  <c:v>Days Requested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'May Req'!$A$2:$A$24</c:f>
              <c:strCache>
                <c:ptCount val="23"/>
                <c:pt idx="0">
                  <c:v>14th</c:v>
                </c:pt>
                <c:pt idx="1">
                  <c:v>Bear Creek</c:v>
                </c:pt>
                <c:pt idx="2">
                  <c:v>Cactus</c:v>
                </c:pt>
                <c:pt idx="3">
                  <c:v>Canyon</c:v>
                </c:pt>
                <c:pt idx="4">
                  <c:v>Coachella</c:v>
                </c:pt>
                <c:pt idx="5">
                  <c:v>Corona Lincoln</c:v>
                </c:pt>
                <c:pt idx="6">
                  <c:v>Corona Plaza</c:v>
                </c:pt>
                <c:pt idx="7">
                  <c:v>Eastvale</c:v>
                </c:pt>
                <c:pt idx="8">
                  <c:v>Indio</c:v>
                </c:pt>
                <c:pt idx="9">
                  <c:v>Magnolia</c:v>
                </c:pt>
                <c:pt idx="10">
                  <c:v>Murrieta</c:v>
                </c:pt>
                <c:pt idx="11">
                  <c:v>Perris</c:v>
                </c:pt>
                <c:pt idx="12">
                  <c:v>Rancho</c:v>
                </c:pt>
                <c:pt idx="13">
                  <c:v>Riv Ave</c:v>
                </c:pt>
                <c:pt idx="14">
                  <c:v>San Jacinto</c:v>
                </c:pt>
                <c:pt idx="15">
                  <c:v>Silverhawk</c:v>
                </c:pt>
                <c:pt idx="16">
                  <c:v>Stoneridge</c:v>
                </c:pt>
                <c:pt idx="17">
                  <c:v>Sun City</c:v>
                </c:pt>
                <c:pt idx="18">
                  <c:v>Sun Lakes</c:v>
                </c:pt>
                <c:pt idx="19">
                  <c:v>Sunrise</c:v>
                </c:pt>
                <c:pt idx="20">
                  <c:v>University</c:v>
                </c:pt>
                <c:pt idx="21">
                  <c:v>West Hemet</c:v>
                </c:pt>
                <c:pt idx="22">
                  <c:v>Woodcrest</c:v>
                </c:pt>
              </c:strCache>
            </c:strRef>
          </c:cat>
          <c:val>
            <c:numRef>
              <c:f>'May Req'!$D$2:$D$24</c:f>
              <c:numCache>
                <c:formatCode>General</c:formatCode>
                <c:ptCount val="23"/>
                <c:pt idx="0">
                  <c:v>6</c:v>
                </c:pt>
                <c:pt idx="1">
                  <c:v>10</c:v>
                </c:pt>
                <c:pt idx="2">
                  <c:v>3</c:v>
                </c:pt>
                <c:pt idx="3">
                  <c:v>7</c:v>
                </c:pt>
                <c:pt idx="4">
                  <c:v>6</c:v>
                </c:pt>
                <c:pt idx="5">
                  <c:v>25</c:v>
                </c:pt>
                <c:pt idx="6">
                  <c:v>2</c:v>
                </c:pt>
                <c:pt idx="7">
                  <c:v>24</c:v>
                </c:pt>
                <c:pt idx="8">
                  <c:v>1</c:v>
                </c:pt>
                <c:pt idx="9">
                  <c:v>8</c:v>
                </c:pt>
                <c:pt idx="10">
                  <c:v>0</c:v>
                </c:pt>
                <c:pt idx="11">
                  <c:v>12</c:v>
                </c:pt>
                <c:pt idx="12">
                  <c:v>10</c:v>
                </c:pt>
                <c:pt idx="13">
                  <c:v>6</c:v>
                </c:pt>
                <c:pt idx="14">
                  <c:v>10</c:v>
                </c:pt>
                <c:pt idx="15">
                  <c:v>6</c:v>
                </c:pt>
                <c:pt idx="16">
                  <c:v>3</c:v>
                </c:pt>
                <c:pt idx="17">
                  <c:v>12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7</c:v>
                </c:pt>
                <c:pt idx="2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E-41B4-B78A-08318A443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3913919"/>
        <c:axId val="1703935999"/>
      </c:barChart>
      <c:catAx>
        <c:axId val="170391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35999"/>
        <c:crosses val="autoZero"/>
        <c:auto val="1"/>
        <c:lblAlgn val="ctr"/>
        <c:lblOffset val="100"/>
        <c:noMultiLvlLbl val="0"/>
      </c:catAx>
      <c:valAx>
        <c:axId val="170393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1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Deployment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'May Dep'!$D$1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'May Dep'!$A$2:$A$21</c:f>
              <c:numCache>
                <c:formatCode>m/d/yyyy</c:formatCode>
                <c:ptCount val="20"/>
                <c:pt idx="0">
                  <c:v>46143</c:v>
                </c:pt>
                <c:pt idx="1">
                  <c:v>46146</c:v>
                </c:pt>
                <c:pt idx="2">
                  <c:v>46147</c:v>
                </c:pt>
                <c:pt idx="3">
                  <c:v>46148</c:v>
                </c:pt>
                <c:pt idx="4">
                  <c:v>46149</c:v>
                </c:pt>
                <c:pt idx="5">
                  <c:v>46150</c:v>
                </c:pt>
                <c:pt idx="6">
                  <c:v>46153</c:v>
                </c:pt>
                <c:pt idx="7">
                  <c:v>46154</c:v>
                </c:pt>
                <c:pt idx="8">
                  <c:v>46155</c:v>
                </c:pt>
                <c:pt idx="9">
                  <c:v>46156</c:v>
                </c:pt>
                <c:pt idx="10">
                  <c:v>46157</c:v>
                </c:pt>
                <c:pt idx="11">
                  <c:v>46160</c:v>
                </c:pt>
                <c:pt idx="12">
                  <c:v>46161</c:v>
                </c:pt>
                <c:pt idx="13">
                  <c:v>46162</c:v>
                </c:pt>
                <c:pt idx="14">
                  <c:v>46163</c:v>
                </c:pt>
                <c:pt idx="15">
                  <c:v>46164</c:v>
                </c:pt>
                <c:pt idx="16">
                  <c:v>46168</c:v>
                </c:pt>
                <c:pt idx="17">
                  <c:v>46169</c:v>
                </c:pt>
                <c:pt idx="18">
                  <c:v>46170</c:v>
                </c:pt>
                <c:pt idx="19">
                  <c:v>46171</c:v>
                </c:pt>
              </c:numCache>
            </c:numRef>
          </c:cat>
          <c:val>
            <c:numRef>
              <c:f>'May Dep'!$D$2:$D$21</c:f>
              <c:numCache>
                <c:formatCode>0%</c:formatCode>
                <c:ptCount val="20"/>
                <c:pt idx="0">
                  <c:v>0.66666666666666663</c:v>
                </c:pt>
                <c:pt idx="1">
                  <c:v>0.66666666666666663</c:v>
                </c:pt>
                <c:pt idx="2">
                  <c:v>0.66666666666666663</c:v>
                </c:pt>
                <c:pt idx="3">
                  <c:v>0.77777777777777779</c:v>
                </c:pt>
                <c:pt idx="4">
                  <c:v>0.66666666666666663</c:v>
                </c:pt>
                <c:pt idx="5">
                  <c:v>0.88888888888888884</c:v>
                </c:pt>
                <c:pt idx="6">
                  <c:v>0.61538461538461542</c:v>
                </c:pt>
                <c:pt idx="7">
                  <c:v>0.81818181818181823</c:v>
                </c:pt>
                <c:pt idx="8">
                  <c:v>0.76923076923076927</c:v>
                </c:pt>
                <c:pt idx="9">
                  <c:v>0.76923076923076927</c:v>
                </c:pt>
                <c:pt idx="10">
                  <c:v>0.84615384615384615</c:v>
                </c:pt>
                <c:pt idx="11">
                  <c:v>0.76923076923076927</c:v>
                </c:pt>
                <c:pt idx="12">
                  <c:v>0.84615384615384615</c:v>
                </c:pt>
                <c:pt idx="13">
                  <c:v>0.84615384615384615</c:v>
                </c:pt>
                <c:pt idx="14">
                  <c:v>0.84615384615384615</c:v>
                </c:pt>
                <c:pt idx="15">
                  <c:v>0.92307692307692313</c:v>
                </c:pt>
                <c:pt idx="16">
                  <c:v>0.81818181818181823</c:v>
                </c:pt>
                <c:pt idx="17">
                  <c:v>1</c:v>
                </c:pt>
                <c:pt idx="18">
                  <c:v>1</c:v>
                </c:pt>
                <c:pt idx="19">
                  <c:v>0.83333333333333337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56-407C-BD9D-42A87378B0C4}"/>
            </c:ext>
          </c:extLst>
        </c:ser>
        <c:ser>
          <c:idx val="1"/>
          <c:order val="1"/>
          <c:tx>
            <c:v>Target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'May Dep'!$E$2:$E$21</c:f>
              <c:numCache>
                <c:formatCode>0%</c:formatCode>
                <c:ptCount val="20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E9-4D9A-AD29-5AA3BF467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5406559"/>
        <c:axId val="1765402719"/>
      </c:lineChart>
      <c:dateAx>
        <c:axId val="17654065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02719"/>
        <c:crosses val="autoZero"/>
        <c:auto val="1"/>
        <c:lblOffset val="100"/>
        <c:baseTimeUnit val="days"/>
      </c:dateAx>
      <c:valAx>
        <c:axId val="176540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0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Support</a:t>
            </a:r>
            <a:r>
              <a:rPr lang="en-US" baseline="0"/>
              <a:t> Requests- June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'Jun Req'!$B$1</c:f>
              <c:strCache>
                <c:ptCount val="1"/>
                <c:pt idx="0">
                  <c:v>ESD/Email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'Jun Req'!$A$2:$A$24</c:f>
              <c:strCache>
                <c:ptCount val="23"/>
                <c:pt idx="0">
                  <c:v>14th</c:v>
                </c:pt>
                <c:pt idx="1">
                  <c:v>Bear Creek</c:v>
                </c:pt>
                <c:pt idx="2">
                  <c:v>Cactus</c:v>
                </c:pt>
                <c:pt idx="3">
                  <c:v>Canyon</c:v>
                </c:pt>
                <c:pt idx="4">
                  <c:v>Coachella</c:v>
                </c:pt>
                <c:pt idx="5">
                  <c:v>Corona Lincoln</c:v>
                </c:pt>
                <c:pt idx="6">
                  <c:v>Corona Plaza</c:v>
                </c:pt>
                <c:pt idx="7">
                  <c:v>Eastvale</c:v>
                </c:pt>
                <c:pt idx="8">
                  <c:v>Indio</c:v>
                </c:pt>
                <c:pt idx="9">
                  <c:v>Magnolia</c:v>
                </c:pt>
                <c:pt idx="10">
                  <c:v>Murrieta</c:v>
                </c:pt>
                <c:pt idx="11">
                  <c:v>Perris</c:v>
                </c:pt>
                <c:pt idx="12">
                  <c:v>Rancho</c:v>
                </c:pt>
                <c:pt idx="13">
                  <c:v>Riv Ave</c:v>
                </c:pt>
                <c:pt idx="14">
                  <c:v>San Jacinto</c:v>
                </c:pt>
                <c:pt idx="15">
                  <c:v>Silverhawk</c:v>
                </c:pt>
                <c:pt idx="16">
                  <c:v>Stoneridge</c:v>
                </c:pt>
                <c:pt idx="17">
                  <c:v>Sun City</c:v>
                </c:pt>
                <c:pt idx="18">
                  <c:v>Sun Lakes</c:v>
                </c:pt>
                <c:pt idx="19">
                  <c:v>Sunrise</c:v>
                </c:pt>
                <c:pt idx="20">
                  <c:v>University</c:v>
                </c:pt>
                <c:pt idx="21">
                  <c:v>West Hemet</c:v>
                </c:pt>
                <c:pt idx="22">
                  <c:v>Woodcrest</c:v>
                </c:pt>
              </c:strCache>
            </c:strRef>
          </c:cat>
          <c:val>
            <c:numRef>
              <c:f>'Jun Req'!$B$2:$B$24</c:f>
              <c:numCache>
                <c:formatCode>General</c:formatCode>
                <c:ptCount val="23"/>
                <c:pt idx="0">
                  <c:v>4</c:v>
                </c:pt>
                <c:pt idx="1">
                  <c:v>0</c:v>
                </c:pt>
                <c:pt idx="2">
                  <c:v>1</c:v>
                </c:pt>
                <c:pt idx="3">
                  <c:v>6</c:v>
                </c:pt>
                <c:pt idx="4">
                  <c:v>0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4</c:v>
                </c:pt>
                <c:pt idx="12">
                  <c:v>5</c:v>
                </c:pt>
                <c:pt idx="13">
                  <c:v>0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1</c:v>
                </c:pt>
                <c:pt idx="18">
                  <c:v>6</c:v>
                </c:pt>
                <c:pt idx="19">
                  <c:v>0</c:v>
                </c:pt>
                <c:pt idx="20">
                  <c:v>3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7-439A-9C29-201907D1D875}"/>
            </c:ext>
          </c:extLst>
        </c:ser>
        <c:ser>
          <c:idx val="1"/>
          <c:order val="1"/>
          <c:tx>
            <c:strRef>
              <c:f>'Jun Req'!$C$1</c:f>
              <c:strCache>
                <c:ptCount val="1"/>
                <c:pt idx="0">
                  <c:v>Emergency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'Jun Req'!$A$2:$A$24</c:f>
              <c:strCache>
                <c:ptCount val="23"/>
                <c:pt idx="0">
                  <c:v>14th</c:v>
                </c:pt>
                <c:pt idx="1">
                  <c:v>Bear Creek</c:v>
                </c:pt>
                <c:pt idx="2">
                  <c:v>Cactus</c:v>
                </c:pt>
                <c:pt idx="3">
                  <c:v>Canyon</c:v>
                </c:pt>
                <c:pt idx="4">
                  <c:v>Coachella</c:v>
                </c:pt>
                <c:pt idx="5">
                  <c:v>Corona Lincoln</c:v>
                </c:pt>
                <c:pt idx="6">
                  <c:v>Corona Plaza</c:v>
                </c:pt>
                <c:pt idx="7">
                  <c:v>Eastvale</c:v>
                </c:pt>
                <c:pt idx="8">
                  <c:v>Indio</c:v>
                </c:pt>
                <c:pt idx="9">
                  <c:v>Magnolia</c:v>
                </c:pt>
                <c:pt idx="10">
                  <c:v>Murrieta</c:v>
                </c:pt>
                <c:pt idx="11">
                  <c:v>Perris</c:v>
                </c:pt>
                <c:pt idx="12">
                  <c:v>Rancho</c:v>
                </c:pt>
                <c:pt idx="13">
                  <c:v>Riv Ave</c:v>
                </c:pt>
                <c:pt idx="14">
                  <c:v>San Jacinto</c:v>
                </c:pt>
                <c:pt idx="15">
                  <c:v>Silverhawk</c:v>
                </c:pt>
                <c:pt idx="16">
                  <c:v>Stoneridge</c:v>
                </c:pt>
                <c:pt idx="17">
                  <c:v>Sun City</c:v>
                </c:pt>
                <c:pt idx="18">
                  <c:v>Sun Lakes</c:v>
                </c:pt>
                <c:pt idx="19">
                  <c:v>Sunrise</c:v>
                </c:pt>
                <c:pt idx="20">
                  <c:v>University</c:v>
                </c:pt>
                <c:pt idx="21">
                  <c:v>West Hemet</c:v>
                </c:pt>
                <c:pt idx="22">
                  <c:v>Woodcrest</c:v>
                </c:pt>
              </c:strCache>
            </c:strRef>
          </c:cat>
          <c:val>
            <c:numRef>
              <c:f>'Jun Req'!$C$2:$C$24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07-439A-9C29-201907D1D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094527"/>
        <c:axId val="1763106047"/>
      </c:barChart>
      <c:catAx>
        <c:axId val="176309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106047"/>
        <c:crosses val="autoZero"/>
        <c:auto val="1"/>
        <c:lblAlgn val="ctr"/>
        <c:lblOffset val="100"/>
        <c:noMultiLvlLbl val="0"/>
      </c:catAx>
      <c:valAx>
        <c:axId val="176310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09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Days Requested- June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'Jun Req'!$D$1</c:f>
              <c:strCache>
                <c:ptCount val="1"/>
                <c:pt idx="0">
                  <c:v>Days Requested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'Jun Req'!$A$2:$A$24</c:f>
              <c:strCache>
                <c:ptCount val="23"/>
                <c:pt idx="0">
                  <c:v>14th</c:v>
                </c:pt>
                <c:pt idx="1">
                  <c:v>Bear Creek</c:v>
                </c:pt>
                <c:pt idx="2">
                  <c:v>Cactus</c:v>
                </c:pt>
                <c:pt idx="3">
                  <c:v>Canyon</c:v>
                </c:pt>
                <c:pt idx="4">
                  <c:v>Coachella</c:v>
                </c:pt>
                <c:pt idx="5">
                  <c:v>Corona Lincoln</c:v>
                </c:pt>
                <c:pt idx="6">
                  <c:v>Corona Plaza</c:v>
                </c:pt>
                <c:pt idx="7">
                  <c:v>Eastvale</c:v>
                </c:pt>
                <c:pt idx="8">
                  <c:v>Indio</c:v>
                </c:pt>
                <c:pt idx="9">
                  <c:v>Magnolia</c:v>
                </c:pt>
                <c:pt idx="10">
                  <c:v>Murrieta</c:v>
                </c:pt>
                <c:pt idx="11">
                  <c:v>Perris</c:v>
                </c:pt>
                <c:pt idx="12">
                  <c:v>Rancho</c:v>
                </c:pt>
                <c:pt idx="13">
                  <c:v>Riv Ave</c:v>
                </c:pt>
                <c:pt idx="14">
                  <c:v>San Jacinto</c:v>
                </c:pt>
                <c:pt idx="15">
                  <c:v>Silverhawk</c:v>
                </c:pt>
                <c:pt idx="16">
                  <c:v>Stoneridge</c:v>
                </c:pt>
                <c:pt idx="17">
                  <c:v>Sun City</c:v>
                </c:pt>
                <c:pt idx="18">
                  <c:v>Sun Lakes</c:v>
                </c:pt>
                <c:pt idx="19">
                  <c:v>Sunrise</c:v>
                </c:pt>
                <c:pt idx="20">
                  <c:v>University</c:v>
                </c:pt>
                <c:pt idx="21">
                  <c:v>West Hemet</c:v>
                </c:pt>
                <c:pt idx="22">
                  <c:v>Woodcrest</c:v>
                </c:pt>
              </c:strCache>
            </c:strRef>
          </c:cat>
          <c:val>
            <c:numRef>
              <c:f>'Jun Req'!$D$2:$D$24</c:f>
              <c:numCache>
                <c:formatCode>General</c:formatCode>
                <c:ptCount val="23"/>
                <c:pt idx="0">
                  <c:v>10</c:v>
                </c:pt>
                <c:pt idx="1">
                  <c:v>3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  <c:pt idx="5">
                  <c:v>23</c:v>
                </c:pt>
                <c:pt idx="6">
                  <c:v>4</c:v>
                </c:pt>
                <c:pt idx="7">
                  <c:v>17</c:v>
                </c:pt>
                <c:pt idx="8">
                  <c:v>5</c:v>
                </c:pt>
                <c:pt idx="9">
                  <c:v>13</c:v>
                </c:pt>
                <c:pt idx="10">
                  <c:v>3</c:v>
                </c:pt>
                <c:pt idx="11">
                  <c:v>5</c:v>
                </c:pt>
                <c:pt idx="12">
                  <c:v>7</c:v>
                </c:pt>
                <c:pt idx="13">
                  <c:v>2</c:v>
                </c:pt>
                <c:pt idx="14">
                  <c:v>10</c:v>
                </c:pt>
                <c:pt idx="15">
                  <c:v>3</c:v>
                </c:pt>
                <c:pt idx="16">
                  <c:v>18</c:v>
                </c:pt>
                <c:pt idx="17">
                  <c:v>5</c:v>
                </c:pt>
                <c:pt idx="18">
                  <c:v>13</c:v>
                </c:pt>
                <c:pt idx="19">
                  <c:v>2</c:v>
                </c:pt>
                <c:pt idx="20">
                  <c:v>0</c:v>
                </c:pt>
                <c:pt idx="21">
                  <c:v>5</c:v>
                </c:pt>
                <c:pt idx="2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D-4668-933A-FB028C21D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3913919"/>
        <c:axId val="1703935999"/>
      </c:barChart>
      <c:catAx>
        <c:axId val="170391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35999"/>
        <c:crosses val="autoZero"/>
        <c:auto val="1"/>
        <c:lblAlgn val="ctr"/>
        <c:lblOffset val="100"/>
        <c:noMultiLvlLbl val="0"/>
      </c:catAx>
      <c:valAx>
        <c:axId val="170393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1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Deployment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'Jun Dep'!$D$1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'Jun Dep'!$A$2:$A$21</c:f>
              <c:numCache>
                <c:formatCode>m/d/yyyy</c:formatCode>
                <c:ptCount val="20"/>
                <c:pt idx="0">
                  <c:v>45810</c:v>
                </c:pt>
                <c:pt idx="1">
                  <c:v>45811</c:v>
                </c:pt>
                <c:pt idx="2">
                  <c:v>45812</c:v>
                </c:pt>
                <c:pt idx="3">
                  <c:v>45813</c:v>
                </c:pt>
                <c:pt idx="4">
                  <c:v>45814</c:v>
                </c:pt>
                <c:pt idx="5">
                  <c:v>45817</c:v>
                </c:pt>
                <c:pt idx="6">
                  <c:v>45818</c:v>
                </c:pt>
                <c:pt idx="7">
                  <c:v>45819</c:v>
                </c:pt>
                <c:pt idx="8">
                  <c:v>45820</c:v>
                </c:pt>
                <c:pt idx="9">
                  <c:v>45821</c:v>
                </c:pt>
                <c:pt idx="10">
                  <c:v>45824</c:v>
                </c:pt>
                <c:pt idx="11">
                  <c:v>45825</c:v>
                </c:pt>
                <c:pt idx="12">
                  <c:v>45826</c:v>
                </c:pt>
                <c:pt idx="13">
                  <c:v>45828</c:v>
                </c:pt>
                <c:pt idx="14">
                  <c:v>45831</c:v>
                </c:pt>
                <c:pt idx="15">
                  <c:v>45832</c:v>
                </c:pt>
                <c:pt idx="16">
                  <c:v>45833</c:v>
                </c:pt>
                <c:pt idx="17">
                  <c:v>45834</c:v>
                </c:pt>
                <c:pt idx="18">
                  <c:v>45835</c:v>
                </c:pt>
                <c:pt idx="19">
                  <c:v>45838</c:v>
                </c:pt>
              </c:numCache>
            </c:numRef>
          </c:cat>
          <c:val>
            <c:numRef>
              <c:f>'Jun Dep'!$D$2:$D$21</c:f>
              <c:numCache>
                <c:formatCode>0%</c:formatCode>
                <c:ptCount val="20"/>
                <c:pt idx="0">
                  <c:v>0.63636363636363635</c:v>
                </c:pt>
                <c:pt idx="1">
                  <c:v>0.90909090909090906</c:v>
                </c:pt>
                <c:pt idx="2">
                  <c:v>0.81818181818181823</c:v>
                </c:pt>
                <c:pt idx="3">
                  <c:v>0.72727272727272729</c:v>
                </c:pt>
                <c:pt idx="4">
                  <c:v>0.72727272727272729</c:v>
                </c:pt>
                <c:pt idx="5">
                  <c:v>0.81818181818181823</c:v>
                </c:pt>
                <c:pt idx="6">
                  <c:v>0.81818181818181823</c:v>
                </c:pt>
                <c:pt idx="7">
                  <c:v>0.90909090909090906</c:v>
                </c:pt>
                <c:pt idx="8">
                  <c:v>0.54545454545454541</c:v>
                </c:pt>
                <c:pt idx="9">
                  <c:v>0.81818181818181823</c:v>
                </c:pt>
                <c:pt idx="10">
                  <c:v>0.72727272727272729</c:v>
                </c:pt>
                <c:pt idx="11">
                  <c:v>0.81818181818181823</c:v>
                </c:pt>
                <c:pt idx="12">
                  <c:v>0.90909090909090906</c:v>
                </c:pt>
                <c:pt idx="13">
                  <c:v>0.72727272727272729</c:v>
                </c:pt>
                <c:pt idx="14">
                  <c:v>0.81818181818181823</c:v>
                </c:pt>
                <c:pt idx="15">
                  <c:v>0.90909090909090906</c:v>
                </c:pt>
                <c:pt idx="16">
                  <c:v>0.90909090909090906</c:v>
                </c:pt>
                <c:pt idx="17">
                  <c:v>0.72727272727272729</c:v>
                </c:pt>
                <c:pt idx="18">
                  <c:v>0.90909090909090906</c:v>
                </c:pt>
                <c:pt idx="19">
                  <c:v>0.54545454545454541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A5-423D-B729-41765C8D58F8}"/>
            </c:ext>
          </c:extLst>
        </c:ser>
        <c:ser>
          <c:idx val="1"/>
          <c:order val="1"/>
          <c:tx>
            <c:v>Target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'Jun Dep'!$E$2:$E$21</c:f>
              <c:numCache>
                <c:formatCode>0%</c:formatCode>
                <c:ptCount val="20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A5-423D-B729-41765C8D5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5406559"/>
        <c:axId val="1765402719"/>
      </c:lineChart>
      <c:dateAx>
        <c:axId val="17654065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02719"/>
        <c:crosses val="autoZero"/>
        <c:auto val="1"/>
        <c:lblOffset val="100"/>
        <c:baseTimeUnit val="days"/>
      </c:dateAx>
      <c:valAx>
        <c:axId val="176540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0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Support</a:t>
            </a:r>
            <a:r>
              <a:rPr lang="en-US" baseline="0"/>
              <a:t> Requests- June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Req'!$B$1</c:f>
              <c:strCache>
                <c:ptCount val="1"/>
                <c:pt idx="0">
                  <c:v>ESD/Email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'July Req'!$A$2:$A$24</c:f>
              <c:strCache>
                <c:ptCount val="23"/>
                <c:pt idx="0">
                  <c:v>14th</c:v>
                </c:pt>
                <c:pt idx="1">
                  <c:v>Bear Creek</c:v>
                </c:pt>
                <c:pt idx="2">
                  <c:v>Cactus</c:v>
                </c:pt>
                <c:pt idx="3">
                  <c:v>Canyon</c:v>
                </c:pt>
                <c:pt idx="4">
                  <c:v>Coachella</c:v>
                </c:pt>
                <c:pt idx="5">
                  <c:v>Corona Lincoln</c:v>
                </c:pt>
                <c:pt idx="6">
                  <c:v>Corona Plaza</c:v>
                </c:pt>
                <c:pt idx="7">
                  <c:v>Eastvale</c:v>
                </c:pt>
                <c:pt idx="8">
                  <c:v>Indio</c:v>
                </c:pt>
                <c:pt idx="9">
                  <c:v>Magnolia</c:v>
                </c:pt>
                <c:pt idx="10">
                  <c:v>Murrieta</c:v>
                </c:pt>
                <c:pt idx="11">
                  <c:v>Perris</c:v>
                </c:pt>
                <c:pt idx="12">
                  <c:v>Rancho</c:v>
                </c:pt>
                <c:pt idx="13">
                  <c:v>Riv Ave</c:v>
                </c:pt>
                <c:pt idx="14">
                  <c:v>San Jacinto</c:v>
                </c:pt>
                <c:pt idx="15">
                  <c:v>Silverhawk</c:v>
                </c:pt>
                <c:pt idx="16">
                  <c:v>Stoneridge</c:v>
                </c:pt>
                <c:pt idx="17">
                  <c:v>Sun City</c:v>
                </c:pt>
                <c:pt idx="18">
                  <c:v>Sun Lakes</c:v>
                </c:pt>
                <c:pt idx="19">
                  <c:v>Sunrise</c:v>
                </c:pt>
                <c:pt idx="20">
                  <c:v>University</c:v>
                </c:pt>
                <c:pt idx="21">
                  <c:v>West Hemet</c:v>
                </c:pt>
                <c:pt idx="22">
                  <c:v>Woodcrest</c:v>
                </c:pt>
              </c:strCache>
            </c:strRef>
          </c:cat>
          <c:val>
            <c:numRef>
              <c:f>'July Req'!$B$2:$B$24</c:f>
              <c:numCache>
                <c:formatCode>General</c:formatCode>
                <c:ptCount val="23"/>
                <c:pt idx="0">
                  <c:v>4</c:v>
                </c:pt>
                <c:pt idx="1">
                  <c:v>0</c:v>
                </c:pt>
                <c:pt idx="2">
                  <c:v>1</c:v>
                </c:pt>
                <c:pt idx="3">
                  <c:v>6</c:v>
                </c:pt>
                <c:pt idx="4">
                  <c:v>0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4</c:v>
                </c:pt>
                <c:pt idx="12">
                  <c:v>5</c:v>
                </c:pt>
                <c:pt idx="13">
                  <c:v>0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1</c:v>
                </c:pt>
                <c:pt idx="18">
                  <c:v>6</c:v>
                </c:pt>
                <c:pt idx="19">
                  <c:v>0</c:v>
                </c:pt>
                <c:pt idx="20">
                  <c:v>3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C-49B6-B615-B72C477A8DA5}"/>
            </c:ext>
          </c:extLst>
        </c:ser>
        <c:ser>
          <c:idx val="1"/>
          <c:order val="1"/>
          <c:tx>
            <c:strRef>
              <c:f>'July Req'!$C$1</c:f>
              <c:strCache>
                <c:ptCount val="1"/>
                <c:pt idx="0">
                  <c:v>Emergency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'July Req'!$A$2:$A$24</c:f>
              <c:strCache>
                <c:ptCount val="23"/>
                <c:pt idx="0">
                  <c:v>14th</c:v>
                </c:pt>
                <c:pt idx="1">
                  <c:v>Bear Creek</c:v>
                </c:pt>
                <c:pt idx="2">
                  <c:v>Cactus</c:v>
                </c:pt>
                <c:pt idx="3">
                  <c:v>Canyon</c:v>
                </c:pt>
                <c:pt idx="4">
                  <c:v>Coachella</c:v>
                </c:pt>
                <c:pt idx="5">
                  <c:v>Corona Lincoln</c:v>
                </c:pt>
                <c:pt idx="6">
                  <c:v>Corona Plaza</c:v>
                </c:pt>
                <c:pt idx="7">
                  <c:v>Eastvale</c:v>
                </c:pt>
                <c:pt idx="8">
                  <c:v>Indio</c:v>
                </c:pt>
                <c:pt idx="9">
                  <c:v>Magnolia</c:v>
                </c:pt>
                <c:pt idx="10">
                  <c:v>Murrieta</c:v>
                </c:pt>
                <c:pt idx="11">
                  <c:v>Perris</c:v>
                </c:pt>
                <c:pt idx="12">
                  <c:v>Rancho</c:v>
                </c:pt>
                <c:pt idx="13">
                  <c:v>Riv Ave</c:v>
                </c:pt>
                <c:pt idx="14">
                  <c:v>San Jacinto</c:v>
                </c:pt>
                <c:pt idx="15">
                  <c:v>Silverhawk</c:v>
                </c:pt>
                <c:pt idx="16">
                  <c:v>Stoneridge</c:v>
                </c:pt>
                <c:pt idx="17">
                  <c:v>Sun City</c:v>
                </c:pt>
                <c:pt idx="18">
                  <c:v>Sun Lakes</c:v>
                </c:pt>
                <c:pt idx="19">
                  <c:v>Sunrise</c:v>
                </c:pt>
                <c:pt idx="20">
                  <c:v>University</c:v>
                </c:pt>
                <c:pt idx="21">
                  <c:v>West Hemet</c:v>
                </c:pt>
                <c:pt idx="22">
                  <c:v>Woodcrest</c:v>
                </c:pt>
              </c:strCache>
            </c:strRef>
          </c:cat>
          <c:val>
            <c:numRef>
              <c:f>'July Req'!$C$2:$C$24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1C-49B6-B615-B72C477A8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094527"/>
        <c:axId val="1763106047"/>
      </c:barChart>
      <c:catAx>
        <c:axId val="176309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106047"/>
        <c:crosses val="autoZero"/>
        <c:auto val="1"/>
        <c:lblAlgn val="ctr"/>
        <c:lblOffset val="100"/>
        <c:noMultiLvlLbl val="0"/>
      </c:catAx>
      <c:valAx>
        <c:axId val="176310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09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Days Requested- June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Req'!$D$1</c:f>
              <c:strCache>
                <c:ptCount val="1"/>
                <c:pt idx="0">
                  <c:v>Days Requested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'July Req'!$A$2:$A$24</c:f>
              <c:strCache>
                <c:ptCount val="23"/>
                <c:pt idx="0">
                  <c:v>14th</c:v>
                </c:pt>
                <c:pt idx="1">
                  <c:v>Bear Creek</c:v>
                </c:pt>
                <c:pt idx="2">
                  <c:v>Cactus</c:v>
                </c:pt>
                <c:pt idx="3">
                  <c:v>Canyon</c:v>
                </c:pt>
                <c:pt idx="4">
                  <c:v>Coachella</c:v>
                </c:pt>
                <c:pt idx="5">
                  <c:v>Corona Lincoln</c:v>
                </c:pt>
                <c:pt idx="6">
                  <c:v>Corona Plaza</c:v>
                </c:pt>
                <c:pt idx="7">
                  <c:v>Eastvale</c:v>
                </c:pt>
                <c:pt idx="8">
                  <c:v>Indio</c:v>
                </c:pt>
                <c:pt idx="9">
                  <c:v>Magnolia</c:v>
                </c:pt>
                <c:pt idx="10">
                  <c:v>Murrieta</c:v>
                </c:pt>
                <c:pt idx="11">
                  <c:v>Perris</c:v>
                </c:pt>
                <c:pt idx="12">
                  <c:v>Rancho</c:v>
                </c:pt>
                <c:pt idx="13">
                  <c:v>Riv Ave</c:v>
                </c:pt>
                <c:pt idx="14">
                  <c:v>San Jacinto</c:v>
                </c:pt>
                <c:pt idx="15">
                  <c:v>Silverhawk</c:v>
                </c:pt>
                <c:pt idx="16">
                  <c:v>Stoneridge</c:v>
                </c:pt>
                <c:pt idx="17">
                  <c:v>Sun City</c:v>
                </c:pt>
                <c:pt idx="18">
                  <c:v>Sun Lakes</c:v>
                </c:pt>
                <c:pt idx="19">
                  <c:v>Sunrise</c:v>
                </c:pt>
                <c:pt idx="20">
                  <c:v>University</c:v>
                </c:pt>
                <c:pt idx="21">
                  <c:v>West Hemet</c:v>
                </c:pt>
                <c:pt idx="22">
                  <c:v>Woodcrest</c:v>
                </c:pt>
              </c:strCache>
            </c:strRef>
          </c:cat>
          <c:val>
            <c:numRef>
              <c:f>'July Req'!$D$2:$D$24</c:f>
              <c:numCache>
                <c:formatCode>General</c:formatCode>
                <c:ptCount val="23"/>
              </c:numCache>
            </c:numRef>
          </c:val>
          <c:extLst>
            <c:ext xmlns:c16="http://schemas.microsoft.com/office/drawing/2014/chart" uri="{C3380CC4-5D6E-409C-BE32-E72D297353CC}">
              <c16:uniqueId val="{00000000-A59A-4C71-BBA0-0CA145674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3913919"/>
        <c:axId val="1703935999"/>
      </c:barChart>
      <c:catAx>
        <c:axId val="170391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35999"/>
        <c:crosses val="autoZero"/>
        <c:auto val="1"/>
        <c:lblAlgn val="ctr"/>
        <c:lblOffset val="100"/>
        <c:noMultiLvlLbl val="0"/>
      </c:catAx>
      <c:valAx>
        <c:axId val="170393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1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Deployment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 Dep'!$D$1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'Jul Dep'!$A$2:$A$23</c:f>
              <c:numCache>
                <c:formatCode>m/d/yyyy</c:formatCode>
                <c:ptCount val="22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45845</c:v>
                </c:pt>
                <c:pt idx="4">
                  <c:v>45846</c:v>
                </c:pt>
                <c:pt idx="5">
                  <c:v>45847</c:v>
                </c:pt>
                <c:pt idx="6">
                  <c:v>45848</c:v>
                </c:pt>
                <c:pt idx="7">
                  <c:v>45849</c:v>
                </c:pt>
                <c:pt idx="8">
                  <c:v>45852</c:v>
                </c:pt>
                <c:pt idx="9">
                  <c:v>45853</c:v>
                </c:pt>
                <c:pt idx="10">
                  <c:v>45854</c:v>
                </c:pt>
                <c:pt idx="11">
                  <c:v>45855</c:v>
                </c:pt>
                <c:pt idx="12">
                  <c:v>45856</c:v>
                </c:pt>
                <c:pt idx="13">
                  <c:v>45859</c:v>
                </c:pt>
                <c:pt idx="14">
                  <c:v>45860</c:v>
                </c:pt>
                <c:pt idx="15">
                  <c:v>45861</c:v>
                </c:pt>
                <c:pt idx="16">
                  <c:v>45862</c:v>
                </c:pt>
                <c:pt idx="17">
                  <c:v>45863</c:v>
                </c:pt>
                <c:pt idx="18">
                  <c:v>45866</c:v>
                </c:pt>
                <c:pt idx="19">
                  <c:v>45867</c:v>
                </c:pt>
                <c:pt idx="20">
                  <c:v>45868</c:v>
                </c:pt>
                <c:pt idx="21">
                  <c:v>45869</c:v>
                </c:pt>
              </c:numCache>
            </c:numRef>
          </c:cat>
          <c:val>
            <c:numRef>
              <c:f>'Jul Dep'!$D$2:$D$23</c:f>
              <c:numCache>
                <c:formatCode>0%</c:formatCode>
                <c:ptCount val="22"/>
                <c:pt idx="0">
                  <c:v>0.72727272727272729</c:v>
                </c:pt>
                <c:pt idx="1">
                  <c:v>0.54545454545454541</c:v>
                </c:pt>
                <c:pt idx="2">
                  <c:v>0.63636363636363635</c:v>
                </c:pt>
                <c:pt idx="3">
                  <c:v>0.63636363636363635</c:v>
                </c:pt>
                <c:pt idx="4">
                  <c:v>0.81818181818181823</c:v>
                </c:pt>
                <c:pt idx="5">
                  <c:v>0.81818181818181823</c:v>
                </c:pt>
                <c:pt idx="6">
                  <c:v>0.72727272727272729</c:v>
                </c:pt>
                <c:pt idx="7">
                  <c:v>0.72727272727272729</c:v>
                </c:pt>
                <c:pt idx="8">
                  <c:v>0.72727272727272729</c:v>
                </c:pt>
                <c:pt idx="9">
                  <c:v>0.90909090909090906</c:v>
                </c:pt>
                <c:pt idx="10">
                  <c:v>1</c:v>
                </c:pt>
                <c:pt idx="11">
                  <c:v>0.90909090909090906</c:v>
                </c:pt>
                <c:pt idx="12">
                  <c:v>0.90909090909090906</c:v>
                </c:pt>
                <c:pt idx="13">
                  <c:v>0.7</c:v>
                </c:pt>
                <c:pt idx="14">
                  <c:v>0.8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0.7</c:v>
                </c:pt>
                <c:pt idx="19">
                  <c:v>1</c:v>
                </c:pt>
                <c:pt idx="20">
                  <c:v>0.9</c:v>
                </c:pt>
                <c:pt idx="2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D-4DF2-97DE-152222DFD8CF}"/>
            </c:ext>
          </c:extLst>
        </c:ser>
        <c:ser>
          <c:idx val="1"/>
          <c:order val="1"/>
          <c:tx>
            <c:v>Target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'Jul Dep'!$E$2:$E$23</c:f>
              <c:numCache>
                <c:formatCode>0%</c:formatCode>
                <c:ptCount val="2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D-4DF2-97DE-152222DFD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5406559"/>
        <c:axId val="1765402719"/>
      </c:lineChart>
      <c:dateAx>
        <c:axId val="17654065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02719"/>
        <c:crosses val="autoZero"/>
        <c:auto val="1"/>
        <c:lblOffset val="100"/>
        <c:baseTimeUnit val="days"/>
      </c:dateAx>
      <c:valAx>
        <c:axId val="176540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0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Support</a:t>
            </a:r>
            <a:r>
              <a:rPr lang="en-US" baseline="0"/>
              <a:t> Requests- June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'Aug Req'!$B$1</c:f>
              <c:strCache>
                <c:ptCount val="1"/>
                <c:pt idx="0">
                  <c:v>ESD/Email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'Aug Req'!$A$2:$A$24</c:f>
              <c:strCache>
                <c:ptCount val="23"/>
                <c:pt idx="0">
                  <c:v>14th</c:v>
                </c:pt>
                <c:pt idx="1">
                  <c:v>Bear Creek</c:v>
                </c:pt>
                <c:pt idx="2">
                  <c:v>Cactus</c:v>
                </c:pt>
                <c:pt idx="3">
                  <c:v>Canyon</c:v>
                </c:pt>
                <c:pt idx="4">
                  <c:v>Coachella</c:v>
                </c:pt>
                <c:pt idx="5">
                  <c:v>Corona Lincoln</c:v>
                </c:pt>
                <c:pt idx="6">
                  <c:v>Corona Plaza</c:v>
                </c:pt>
                <c:pt idx="7">
                  <c:v>Eastvale</c:v>
                </c:pt>
                <c:pt idx="8">
                  <c:v>Indio</c:v>
                </c:pt>
                <c:pt idx="9">
                  <c:v>Magnolia</c:v>
                </c:pt>
                <c:pt idx="10">
                  <c:v>Murrieta</c:v>
                </c:pt>
                <c:pt idx="11">
                  <c:v>Perris</c:v>
                </c:pt>
                <c:pt idx="12">
                  <c:v>Rancho</c:v>
                </c:pt>
                <c:pt idx="13">
                  <c:v>Riv Ave</c:v>
                </c:pt>
                <c:pt idx="14">
                  <c:v>San Jacinto</c:v>
                </c:pt>
                <c:pt idx="15">
                  <c:v>Silverhawk</c:v>
                </c:pt>
                <c:pt idx="16">
                  <c:v>Stoneridge</c:v>
                </c:pt>
                <c:pt idx="17">
                  <c:v>Sun City</c:v>
                </c:pt>
                <c:pt idx="18">
                  <c:v>Sun Lakes</c:v>
                </c:pt>
                <c:pt idx="19">
                  <c:v>Sunrise</c:v>
                </c:pt>
                <c:pt idx="20">
                  <c:v>University</c:v>
                </c:pt>
                <c:pt idx="21">
                  <c:v>West Hemet</c:v>
                </c:pt>
                <c:pt idx="22">
                  <c:v>Woodcrest</c:v>
                </c:pt>
              </c:strCache>
            </c:strRef>
          </c:cat>
          <c:val>
            <c:numRef>
              <c:f>'Aug Req'!$B$2:$B$24</c:f>
              <c:numCache>
                <c:formatCode>General</c:formatCode>
                <c:ptCount val="23"/>
              </c:numCache>
            </c:numRef>
          </c:val>
          <c:extLst>
            <c:ext xmlns:c16="http://schemas.microsoft.com/office/drawing/2014/chart" uri="{C3380CC4-5D6E-409C-BE32-E72D297353CC}">
              <c16:uniqueId val="{00000000-5ACF-438D-90C6-E6F7BA3AF048}"/>
            </c:ext>
          </c:extLst>
        </c:ser>
        <c:ser>
          <c:idx val="1"/>
          <c:order val="1"/>
          <c:tx>
            <c:strRef>
              <c:f>'Aug Req'!$C$1</c:f>
              <c:strCache>
                <c:ptCount val="1"/>
                <c:pt idx="0">
                  <c:v>Emergency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'Aug Req'!$A$2:$A$24</c:f>
              <c:strCache>
                <c:ptCount val="23"/>
                <c:pt idx="0">
                  <c:v>14th</c:v>
                </c:pt>
                <c:pt idx="1">
                  <c:v>Bear Creek</c:v>
                </c:pt>
                <c:pt idx="2">
                  <c:v>Cactus</c:v>
                </c:pt>
                <c:pt idx="3">
                  <c:v>Canyon</c:v>
                </c:pt>
                <c:pt idx="4">
                  <c:v>Coachella</c:v>
                </c:pt>
                <c:pt idx="5">
                  <c:v>Corona Lincoln</c:v>
                </c:pt>
                <c:pt idx="6">
                  <c:v>Corona Plaza</c:v>
                </c:pt>
                <c:pt idx="7">
                  <c:v>Eastvale</c:v>
                </c:pt>
                <c:pt idx="8">
                  <c:v>Indio</c:v>
                </c:pt>
                <c:pt idx="9">
                  <c:v>Magnolia</c:v>
                </c:pt>
                <c:pt idx="10">
                  <c:v>Murrieta</c:v>
                </c:pt>
                <c:pt idx="11">
                  <c:v>Perris</c:v>
                </c:pt>
                <c:pt idx="12">
                  <c:v>Rancho</c:v>
                </c:pt>
                <c:pt idx="13">
                  <c:v>Riv Ave</c:v>
                </c:pt>
                <c:pt idx="14">
                  <c:v>San Jacinto</c:v>
                </c:pt>
                <c:pt idx="15">
                  <c:v>Silverhawk</c:v>
                </c:pt>
                <c:pt idx="16">
                  <c:v>Stoneridge</c:v>
                </c:pt>
                <c:pt idx="17">
                  <c:v>Sun City</c:v>
                </c:pt>
                <c:pt idx="18">
                  <c:v>Sun Lakes</c:v>
                </c:pt>
                <c:pt idx="19">
                  <c:v>Sunrise</c:v>
                </c:pt>
                <c:pt idx="20">
                  <c:v>University</c:v>
                </c:pt>
                <c:pt idx="21">
                  <c:v>West Hemet</c:v>
                </c:pt>
                <c:pt idx="22">
                  <c:v>Woodcrest</c:v>
                </c:pt>
              </c:strCache>
            </c:strRef>
          </c:cat>
          <c:val>
            <c:numRef>
              <c:f>'Aug Req'!$C$2:$C$24</c:f>
              <c:numCache>
                <c:formatCode>General</c:formatCode>
                <c:ptCount val="23"/>
              </c:numCache>
            </c:numRef>
          </c:val>
          <c:extLst>
            <c:ext xmlns:c16="http://schemas.microsoft.com/office/drawing/2014/chart" uri="{C3380CC4-5D6E-409C-BE32-E72D297353CC}">
              <c16:uniqueId val="{00000001-5ACF-438D-90C6-E6F7BA3AF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3094527"/>
        <c:axId val="1763106047"/>
      </c:barChart>
      <c:catAx>
        <c:axId val="176309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106047"/>
        <c:crosses val="autoZero"/>
        <c:auto val="1"/>
        <c:lblAlgn val="ctr"/>
        <c:lblOffset val="100"/>
        <c:noMultiLvlLbl val="0"/>
      </c:catAx>
      <c:valAx>
        <c:axId val="176310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09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Days Requested- June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'Aug Req'!$D$1</c:f>
              <c:strCache>
                <c:ptCount val="1"/>
                <c:pt idx="0">
                  <c:v>Days Requested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'Aug Req'!$A$2:$A$24</c:f>
              <c:strCache>
                <c:ptCount val="23"/>
                <c:pt idx="0">
                  <c:v>14th</c:v>
                </c:pt>
                <c:pt idx="1">
                  <c:v>Bear Creek</c:v>
                </c:pt>
                <c:pt idx="2">
                  <c:v>Cactus</c:v>
                </c:pt>
                <c:pt idx="3">
                  <c:v>Canyon</c:v>
                </c:pt>
                <c:pt idx="4">
                  <c:v>Coachella</c:v>
                </c:pt>
                <c:pt idx="5">
                  <c:v>Corona Lincoln</c:v>
                </c:pt>
                <c:pt idx="6">
                  <c:v>Corona Plaza</c:v>
                </c:pt>
                <c:pt idx="7">
                  <c:v>Eastvale</c:v>
                </c:pt>
                <c:pt idx="8">
                  <c:v>Indio</c:v>
                </c:pt>
                <c:pt idx="9">
                  <c:v>Magnolia</c:v>
                </c:pt>
                <c:pt idx="10">
                  <c:v>Murrieta</c:v>
                </c:pt>
                <c:pt idx="11">
                  <c:v>Perris</c:v>
                </c:pt>
                <c:pt idx="12">
                  <c:v>Rancho</c:v>
                </c:pt>
                <c:pt idx="13">
                  <c:v>Riv Ave</c:v>
                </c:pt>
                <c:pt idx="14">
                  <c:v>San Jacinto</c:v>
                </c:pt>
                <c:pt idx="15">
                  <c:v>Silverhawk</c:v>
                </c:pt>
                <c:pt idx="16">
                  <c:v>Stoneridge</c:v>
                </c:pt>
                <c:pt idx="17">
                  <c:v>Sun City</c:v>
                </c:pt>
                <c:pt idx="18">
                  <c:v>Sun Lakes</c:v>
                </c:pt>
                <c:pt idx="19">
                  <c:v>Sunrise</c:v>
                </c:pt>
                <c:pt idx="20">
                  <c:v>University</c:v>
                </c:pt>
                <c:pt idx="21">
                  <c:v>West Hemet</c:v>
                </c:pt>
                <c:pt idx="22">
                  <c:v>Woodcrest</c:v>
                </c:pt>
              </c:strCache>
            </c:strRef>
          </c:cat>
          <c:val>
            <c:numRef>
              <c:f>'Aug Req'!$D$2:$D$24</c:f>
              <c:numCache>
                <c:formatCode>General</c:formatCode>
                <c:ptCount val="23"/>
              </c:numCache>
            </c:numRef>
          </c:val>
          <c:extLst>
            <c:ext xmlns:c16="http://schemas.microsoft.com/office/drawing/2014/chart" uri="{C3380CC4-5D6E-409C-BE32-E72D297353CC}">
              <c16:uniqueId val="{00000000-BA67-423E-B299-B01AC3BB8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3913919"/>
        <c:axId val="1703935999"/>
      </c:barChart>
      <c:catAx>
        <c:axId val="170391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35999"/>
        <c:crosses val="autoZero"/>
        <c:auto val="1"/>
        <c:lblAlgn val="ctr"/>
        <c:lblOffset val="100"/>
        <c:noMultiLvlLbl val="0"/>
      </c:catAx>
      <c:valAx>
        <c:axId val="170393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1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Deployment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 Dep'!$D$1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'Aug Dep'!$A$2:$A$22</c:f>
              <c:numCache>
                <c:formatCode>m/d/yyyy</c:formatCode>
                <c:ptCount val="21"/>
                <c:pt idx="0">
                  <c:v>45870</c:v>
                </c:pt>
                <c:pt idx="1">
                  <c:v>45873</c:v>
                </c:pt>
                <c:pt idx="2">
                  <c:v>45874</c:v>
                </c:pt>
                <c:pt idx="3">
                  <c:v>45875</c:v>
                </c:pt>
                <c:pt idx="4">
                  <c:v>45876</c:v>
                </c:pt>
                <c:pt idx="5">
                  <c:v>45877</c:v>
                </c:pt>
                <c:pt idx="6">
                  <c:v>45880</c:v>
                </c:pt>
                <c:pt idx="7">
                  <c:v>45881</c:v>
                </c:pt>
                <c:pt idx="8">
                  <c:v>45882</c:v>
                </c:pt>
                <c:pt idx="9">
                  <c:v>45883</c:v>
                </c:pt>
                <c:pt idx="10">
                  <c:v>45884</c:v>
                </c:pt>
                <c:pt idx="11">
                  <c:v>45887</c:v>
                </c:pt>
                <c:pt idx="12">
                  <c:v>45888</c:v>
                </c:pt>
                <c:pt idx="13">
                  <c:v>45889</c:v>
                </c:pt>
                <c:pt idx="14">
                  <c:v>45890</c:v>
                </c:pt>
                <c:pt idx="15">
                  <c:v>45891</c:v>
                </c:pt>
                <c:pt idx="16">
                  <c:v>45894</c:v>
                </c:pt>
                <c:pt idx="17">
                  <c:v>45895</c:v>
                </c:pt>
                <c:pt idx="18">
                  <c:v>45896</c:v>
                </c:pt>
                <c:pt idx="19">
                  <c:v>45897</c:v>
                </c:pt>
                <c:pt idx="20">
                  <c:v>45898</c:v>
                </c:pt>
              </c:numCache>
            </c:numRef>
          </c:cat>
          <c:val>
            <c:numRef>
              <c:f>'Aug Dep'!$D$2:$D$22</c:f>
              <c:numCache>
                <c:formatCode>0%</c:formatCode>
                <c:ptCount val="21"/>
                <c:pt idx="0">
                  <c:v>0.8</c:v>
                </c:pt>
                <c:pt idx="1">
                  <c:v>0.9</c:v>
                </c:pt>
                <c:pt idx="2">
                  <c:v>1</c:v>
                </c:pt>
                <c:pt idx="3">
                  <c:v>1</c:v>
                </c:pt>
                <c:pt idx="4">
                  <c:v>0.9</c:v>
                </c:pt>
                <c:pt idx="5">
                  <c:v>0.9</c:v>
                </c:pt>
                <c:pt idx="6">
                  <c:v>0.7</c:v>
                </c:pt>
                <c:pt idx="7">
                  <c:v>0.7</c:v>
                </c:pt>
                <c:pt idx="8">
                  <c:v>0.9</c:v>
                </c:pt>
                <c:pt idx="9">
                  <c:v>0.7</c:v>
                </c:pt>
                <c:pt idx="10">
                  <c:v>0.8</c:v>
                </c:pt>
                <c:pt idx="11">
                  <c:v>0.7</c:v>
                </c:pt>
                <c:pt idx="12">
                  <c:v>1</c:v>
                </c:pt>
                <c:pt idx="13">
                  <c:v>0.9</c:v>
                </c:pt>
                <c:pt idx="14">
                  <c:v>0.9</c:v>
                </c:pt>
                <c:pt idx="15">
                  <c:v>0.7</c:v>
                </c:pt>
                <c:pt idx="16">
                  <c:v>0.6</c:v>
                </c:pt>
                <c:pt idx="17">
                  <c:v>1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B-4440-A59D-D36AE8049646}"/>
            </c:ext>
          </c:extLst>
        </c:ser>
        <c:ser>
          <c:idx val="1"/>
          <c:order val="1"/>
          <c:tx>
            <c:v>Target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'Aug Dep'!$E$2:$E$22</c:f>
              <c:numCache>
                <c:formatCode>0%</c:formatCode>
                <c:ptCount val="2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3B-4440-A59D-D36AE8049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5406559"/>
        <c:axId val="1765402719"/>
      </c:lineChart>
      <c:dateAx>
        <c:axId val="17654065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02719"/>
        <c:crosses val="autoZero"/>
        <c:auto val="1"/>
        <c:lblOffset val="100"/>
        <c:baseTimeUnit val="days"/>
      </c:dateAx>
      <c:valAx>
        <c:axId val="176540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0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Deployment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'Sep Dep'!$D$1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'Sep Dep'!$A$2:$A$22</c:f>
              <c:numCache>
                <c:formatCode>m/d/yyyy</c:formatCode>
                <c:ptCount val="21"/>
                <c:pt idx="0">
                  <c:v>45902</c:v>
                </c:pt>
                <c:pt idx="1">
                  <c:v>45903</c:v>
                </c:pt>
                <c:pt idx="2">
                  <c:v>45904</c:v>
                </c:pt>
                <c:pt idx="3">
                  <c:v>45905</c:v>
                </c:pt>
                <c:pt idx="4">
                  <c:v>45908</c:v>
                </c:pt>
                <c:pt idx="5">
                  <c:v>45909</c:v>
                </c:pt>
                <c:pt idx="6">
                  <c:v>45910</c:v>
                </c:pt>
                <c:pt idx="7">
                  <c:v>45911</c:v>
                </c:pt>
                <c:pt idx="8">
                  <c:v>45912</c:v>
                </c:pt>
                <c:pt idx="9">
                  <c:v>45915</c:v>
                </c:pt>
                <c:pt idx="10">
                  <c:v>45916</c:v>
                </c:pt>
                <c:pt idx="11">
                  <c:v>45917</c:v>
                </c:pt>
                <c:pt idx="12">
                  <c:v>45918</c:v>
                </c:pt>
                <c:pt idx="13">
                  <c:v>45919</c:v>
                </c:pt>
                <c:pt idx="14">
                  <c:v>45922</c:v>
                </c:pt>
                <c:pt idx="15">
                  <c:v>45923</c:v>
                </c:pt>
                <c:pt idx="16">
                  <c:v>45924</c:v>
                </c:pt>
                <c:pt idx="17">
                  <c:v>45925</c:v>
                </c:pt>
                <c:pt idx="18">
                  <c:v>45926</c:v>
                </c:pt>
                <c:pt idx="19">
                  <c:v>45929</c:v>
                </c:pt>
                <c:pt idx="20">
                  <c:v>45930</c:v>
                </c:pt>
              </c:numCache>
            </c:numRef>
          </c:cat>
          <c:val>
            <c:numRef>
              <c:f>'Sep Dep'!$D$2:$D$22</c:f>
              <c:numCache>
                <c:formatCode>0%</c:formatCode>
                <c:ptCount val="21"/>
                <c:pt idx="0">
                  <c:v>0.90909090909090906</c:v>
                </c:pt>
                <c:pt idx="1">
                  <c:v>0.90909090909090906</c:v>
                </c:pt>
                <c:pt idx="2">
                  <c:v>1</c:v>
                </c:pt>
                <c:pt idx="3">
                  <c:v>0.90909090909090906</c:v>
                </c:pt>
                <c:pt idx="4">
                  <c:v>0.81818181818181823</c:v>
                </c:pt>
                <c:pt idx="5">
                  <c:v>0.81818181818181823</c:v>
                </c:pt>
                <c:pt idx="6">
                  <c:v>0.81818181818181823</c:v>
                </c:pt>
                <c:pt idx="7">
                  <c:v>0.45454545454545453</c:v>
                </c:pt>
                <c:pt idx="8">
                  <c:v>0.81818181818181823</c:v>
                </c:pt>
                <c:pt idx="9">
                  <c:v>0.81818181818181823</c:v>
                </c:pt>
                <c:pt idx="10">
                  <c:v>0.81818181818181823</c:v>
                </c:pt>
                <c:pt idx="11">
                  <c:v>1</c:v>
                </c:pt>
                <c:pt idx="12">
                  <c:v>0.90909090909090906</c:v>
                </c:pt>
                <c:pt idx="13">
                  <c:v>0.81818181818181823</c:v>
                </c:pt>
                <c:pt idx="14">
                  <c:v>0.54545454545454541</c:v>
                </c:pt>
                <c:pt idx="15">
                  <c:v>0.72727272727272729</c:v>
                </c:pt>
                <c:pt idx="16">
                  <c:v>0.81818181818181823</c:v>
                </c:pt>
                <c:pt idx="17">
                  <c:v>0.90909090909090906</c:v>
                </c:pt>
                <c:pt idx="18">
                  <c:v>0.90909090909090906</c:v>
                </c:pt>
                <c:pt idx="19">
                  <c:v>0.36363636363636365</c:v>
                </c:pt>
                <c:pt idx="20">
                  <c:v>0.54545454545454541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D0-46E5-9036-29650247CC58}"/>
            </c:ext>
          </c:extLst>
        </c:ser>
        <c:ser>
          <c:idx val="1"/>
          <c:order val="1"/>
          <c:tx>
            <c:v>Target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'Sep Dep'!$E$2:$E$22</c:f>
              <c:numCache>
                <c:formatCode>0%</c:formatCode>
                <c:ptCount val="2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D0-46E5-9036-29650247C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5406559"/>
        <c:axId val="1765402719"/>
      </c:lineChart>
      <c:dateAx>
        <c:axId val="17654065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02719"/>
        <c:crosses val="autoZero"/>
        <c:auto val="1"/>
        <c:lblOffset val="100"/>
        <c:baseTimeUnit val="days"/>
      </c:dateAx>
      <c:valAx>
        <c:axId val="176540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0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Deployment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'Oct Dep'!$D$1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'Oct Dep'!$A$2:$A$22</c:f>
              <c:numCache>
                <c:formatCode>m/d/yyyy</c:formatCode>
                <c:ptCount val="2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45936</c:v>
                </c:pt>
                <c:pt idx="4">
                  <c:v>45937</c:v>
                </c:pt>
                <c:pt idx="5">
                  <c:v>45938</c:v>
                </c:pt>
                <c:pt idx="6">
                  <c:v>45939</c:v>
                </c:pt>
                <c:pt idx="7">
                  <c:v>45940</c:v>
                </c:pt>
                <c:pt idx="8">
                  <c:v>45944</c:v>
                </c:pt>
                <c:pt idx="9">
                  <c:v>45945</c:v>
                </c:pt>
                <c:pt idx="10">
                  <c:v>45946</c:v>
                </c:pt>
                <c:pt idx="11">
                  <c:v>45947</c:v>
                </c:pt>
                <c:pt idx="12">
                  <c:v>45950</c:v>
                </c:pt>
                <c:pt idx="13">
                  <c:v>45951</c:v>
                </c:pt>
                <c:pt idx="14">
                  <c:v>45952</c:v>
                </c:pt>
                <c:pt idx="15">
                  <c:v>45953</c:v>
                </c:pt>
                <c:pt idx="16">
                  <c:v>45954</c:v>
                </c:pt>
                <c:pt idx="17">
                  <c:v>45957</c:v>
                </c:pt>
                <c:pt idx="18">
                  <c:v>45958</c:v>
                </c:pt>
                <c:pt idx="19">
                  <c:v>45959</c:v>
                </c:pt>
                <c:pt idx="20">
                  <c:v>45960</c:v>
                </c:pt>
              </c:numCache>
            </c:numRef>
          </c:cat>
          <c:val>
            <c:numRef>
              <c:f>'Oct Dep'!$D$2:$D$22</c:f>
              <c:numCache>
                <c:formatCode>0%</c:formatCode>
                <c:ptCount val="21"/>
                <c:pt idx="0">
                  <c:v>1</c:v>
                </c:pt>
                <c:pt idx="1">
                  <c:v>0.72727272727272729</c:v>
                </c:pt>
                <c:pt idx="2">
                  <c:v>0.81818181818181823</c:v>
                </c:pt>
                <c:pt idx="3">
                  <c:v>0.45454545454545453</c:v>
                </c:pt>
                <c:pt idx="4">
                  <c:v>0.63636363636363635</c:v>
                </c:pt>
                <c:pt idx="5">
                  <c:v>0.72727272727272729</c:v>
                </c:pt>
                <c:pt idx="6">
                  <c:v>0.63636363636363635</c:v>
                </c:pt>
                <c:pt idx="7">
                  <c:v>0.72727272727272729</c:v>
                </c:pt>
                <c:pt idx="8">
                  <c:v>0.72727272727272729</c:v>
                </c:pt>
                <c:pt idx="9">
                  <c:v>0.72727272727272729</c:v>
                </c:pt>
                <c:pt idx="10">
                  <c:v>0.90909090909090906</c:v>
                </c:pt>
                <c:pt idx="11">
                  <c:v>0.81818181818181823</c:v>
                </c:pt>
                <c:pt idx="12">
                  <c:v>0.53846153846153844</c:v>
                </c:pt>
                <c:pt idx="13">
                  <c:v>0.69230769230769229</c:v>
                </c:pt>
                <c:pt idx="14">
                  <c:v>0.84615384615384615</c:v>
                </c:pt>
                <c:pt idx="15">
                  <c:v>0.84615384615384615</c:v>
                </c:pt>
                <c:pt idx="16">
                  <c:v>0.76923076923076927</c:v>
                </c:pt>
                <c:pt idx="17">
                  <c:v>0.92307692307692313</c:v>
                </c:pt>
                <c:pt idx="18">
                  <c:v>1</c:v>
                </c:pt>
                <c:pt idx="19">
                  <c:v>0.92307692307692313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18-42C7-BEC6-4F3FF0E33B38}"/>
            </c:ext>
          </c:extLst>
        </c:ser>
        <c:ser>
          <c:idx val="1"/>
          <c:order val="1"/>
          <c:tx>
            <c:v>Target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'Oct Dep'!$E$2:$E$22</c:f>
              <c:numCache>
                <c:formatCode>0%</c:formatCode>
                <c:ptCount val="2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18-42C7-BEC6-4F3FF0E33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5406559"/>
        <c:axId val="1765402719"/>
      </c:lineChart>
      <c:dateAx>
        <c:axId val="17654065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02719"/>
        <c:crosses val="autoZero"/>
        <c:auto val="1"/>
        <c:lblOffset val="100"/>
        <c:baseTimeUnit val="days"/>
      </c:dateAx>
      <c:valAx>
        <c:axId val="176540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0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Deployment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'Nov Dep'!$D$1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'Nov Dep'!$A$2:$A$19</c:f>
              <c:numCache>
                <c:formatCode>m/d/yyyy</c:formatCode>
                <c:ptCount val="18"/>
                <c:pt idx="0">
                  <c:v>45964</c:v>
                </c:pt>
                <c:pt idx="1">
                  <c:v>45965</c:v>
                </c:pt>
                <c:pt idx="2">
                  <c:v>45966</c:v>
                </c:pt>
                <c:pt idx="3">
                  <c:v>45967</c:v>
                </c:pt>
                <c:pt idx="4">
                  <c:v>45968</c:v>
                </c:pt>
                <c:pt idx="5">
                  <c:v>45971</c:v>
                </c:pt>
                <c:pt idx="6">
                  <c:v>45973</c:v>
                </c:pt>
                <c:pt idx="7">
                  <c:v>45974</c:v>
                </c:pt>
                <c:pt idx="8">
                  <c:v>45975</c:v>
                </c:pt>
                <c:pt idx="9">
                  <c:v>45978</c:v>
                </c:pt>
                <c:pt idx="10">
                  <c:v>45979</c:v>
                </c:pt>
                <c:pt idx="11">
                  <c:v>45980</c:v>
                </c:pt>
                <c:pt idx="12">
                  <c:v>45981</c:v>
                </c:pt>
                <c:pt idx="13">
                  <c:v>45982</c:v>
                </c:pt>
                <c:pt idx="14">
                  <c:v>45985</c:v>
                </c:pt>
                <c:pt idx="15">
                  <c:v>45986</c:v>
                </c:pt>
                <c:pt idx="16">
                  <c:v>45987</c:v>
                </c:pt>
                <c:pt idx="17">
                  <c:v>45989</c:v>
                </c:pt>
              </c:numCache>
            </c:numRef>
          </c:cat>
          <c:val>
            <c:numRef>
              <c:f>'Nov Dep'!$D$2:$D$19</c:f>
              <c:numCache>
                <c:formatCode>0%</c:formatCode>
                <c:ptCount val="18"/>
                <c:pt idx="0">
                  <c:v>0.69230769230769229</c:v>
                </c:pt>
                <c:pt idx="1">
                  <c:v>0.92307692307692313</c:v>
                </c:pt>
                <c:pt idx="2">
                  <c:v>0.76923076923076927</c:v>
                </c:pt>
                <c:pt idx="3">
                  <c:v>0.92307692307692313</c:v>
                </c:pt>
                <c:pt idx="4">
                  <c:v>0.69230769230769229</c:v>
                </c:pt>
                <c:pt idx="5">
                  <c:v>0.76923076923076927</c:v>
                </c:pt>
                <c:pt idx="6">
                  <c:v>0.84615384615384615</c:v>
                </c:pt>
                <c:pt idx="7">
                  <c:v>0.92307692307692313</c:v>
                </c:pt>
                <c:pt idx="8">
                  <c:v>0.76923076923076927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0.83333333333333337</c:v>
                </c:pt>
                <c:pt idx="12">
                  <c:v>1</c:v>
                </c:pt>
                <c:pt idx="13">
                  <c:v>0.83333333333333337</c:v>
                </c:pt>
                <c:pt idx="14">
                  <c:v>1</c:v>
                </c:pt>
                <c:pt idx="15">
                  <c:v>0.91666666666666663</c:v>
                </c:pt>
                <c:pt idx="16">
                  <c:v>0.83333333333333337</c:v>
                </c:pt>
                <c:pt idx="17">
                  <c:v>0.83333333333333337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2B-4B33-B40C-615F338C575E}"/>
            </c:ext>
          </c:extLst>
        </c:ser>
        <c:ser>
          <c:idx val="1"/>
          <c:order val="1"/>
          <c:tx>
            <c:v>Target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'Nov Dep'!$E$2:$E$19</c:f>
              <c:numCache>
                <c:formatCode>0%</c:formatCode>
                <c:ptCount val="18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2B-4B33-B40C-615F338C5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5406559"/>
        <c:axId val="1765402719"/>
      </c:lineChart>
      <c:dateAx>
        <c:axId val="17654065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02719"/>
        <c:crosses val="autoZero"/>
        <c:auto val="1"/>
        <c:lblOffset val="100"/>
        <c:baseTimeUnit val="days"/>
      </c:dateAx>
      <c:valAx>
        <c:axId val="176540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0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Deployment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'Dec Dep'!$D$1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'Dec Dep'!$A$2:$A$19</c:f>
              <c:numCache>
                <c:formatCode>m/d/yyyy</c:formatCode>
                <c:ptCount val="18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45999</c:v>
                </c:pt>
                <c:pt idx="6">
                  <c:v>46000</c:v>
                </c:pt>
                <c:pt idx="7">
                  <c:v>46001</c:v>
                </c:pt>
                <c:pt idx="8">
                  <c:v>46002</c:v>
                </c:pt>
                <c:pt idx="9">
                  <c:v>46003</c:v>
                </c:pt>
                <c:pt idx="10">
                  <c:v>46006</c:v>
                </c:pt>
                <c:pt idx="11">
                  <c:v>46007</c:v>
                </c:pt>
                <c:pt idx="12">
                  <c:v>46008</c:v>
                </c:pt>
                <c:pt idx="13">
                  <c:v>46009</c:v>
                </c:pt>
                <c:pt idx="14">
                  <c:v>46010</c:v>
                </c:pt>
                <c:pt idx="15">
                  <c:v>46013</c:v>
                </c:pt>
                <c:pt idx="16">
                  <c:v>46014</c:v>
                </c:pt>
                <c:pt idx="17">
                  <c:v>46015</c:v>
                </c:pt>
              </c:numCache>
            </c:numRef>
          </c:cat>
          <c:val>
            <c:numRef>
              <c:f>'Dec Dep'!$D$2:$D$19</c:f>
              <c:numCache>
                <c:formatCode>0%</c:formatCode>
                <c:ptCount val="18"/>
                <c:pt idx="0">
                  <c:v>0.69230769230769229</c:v>
                </c:pt>
                <c:pt idx="1">
                  <c:v>0.53846153846153844</c:v>
                </c:pt>
                <c:pt idx="2">
                  <c:v>0.69230769230769229</c:v>
                </c:pt>
                <c:pt idx="3">
                  <c:v>0.69230769230769229</c:v>
                </c:pt>
                <c:pt idx="4">
                  <c:v>0.76923076923076927</c:v>
                </c:pt>
                <c:pt idx="5">
                  <c:v>0.53846153846153844</c:v>
                </c:pt>
                <c:pt idx="6">
                  <c:v>0.84615384615384615</c:v>
                </c:pt>
                <c:pt idx="7">
                  <c:v>1</c:v>
                </c:pt>
                <c:pt idx="8">
                  <c:v>0.76923076923076927</c:v>
                </c:pt>
                <c:pt idx="9">
                  <c:v>0.53846153846153844</c:v>
                </c:pt>
                <c:pt idx="10">
                  <c:v>0.69230769230769229</c:v>
                </c:pt>
                <c:pt idx="11">
                  <c:v>1</c:v>
                </c:pt>
                <c:pt idx="12">
                  <c:v>0.76923076923076927</c:v>
                </c:pt>
                <c:pt idx="13">
                  <c:v>0.92307692307692313</c:v>
                </c:pt>
                <c:pt idx="14">
                  <c:v>0.92307692307692313</c:v>
                </c:pt>
                <c:pt idx="15">
                  <c:v>0.84615384615384615</c:v>
                </c:pt>
                <c:pt idx="16">
                  <c:v>0.84615384615384615</c:v>
                </c:pt>
                <c:pt idx="17">
                  <c:v>0.76923076923076927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D8-415E-8C6E-5C0A79799E50}"/>
            </c:ext>
          </c:extLst>
        </c:ser>
        <c:ser>
          <c:idx val="1"/>
          <c:order val="1"/>
          <c:tx>
            <c:v>Target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'Dec Dep'!$E$2:$E$19</c:f>
              <c:numCache>
                <c:formatCode>0%</c:formatCode>
                <c:ptCount val="18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D8-415E-8C6E-5C0A79799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5406559"/>
        <c:axId val="1765402719"/>
      </c:lineChart>
      <c:dateAx>
        <c:axId val="17654065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02719"/>
        <c:crosses val="autoZero"/>
        <c:auto val="1"/>
        <c:lblOffset val="100"/>
        <c:baseTimeUnit val="days"/>
      </c:dateAx>
      <c:valAx>
        <c:axId val="176540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0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3</xdr:row>
      <xdr:rowOff>138112</xdr:rowOff>
    </xdr:from>
    <xdr:to>
      <xdr:col>15</xdr:col>
      <xdr:colOff>504825</xdr:colOff>
      <xdr:row>21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2E101B-26FE-E059-60CB-D1AE43C67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4</xdr:row>
      <xdr:rowOff>28575</xdr:rowOff>
    </xdr:from>
    <xdr:to>
      <xdr:col>14</xdr:col>
      <xdr:colOff>476250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5913DD-FAD4-F4A7-54AD-7C1094C13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28574</xdr:colOff>
      <xdr:row>1</xdr:row>
      <xdr:rowOff>9523</xdr:rowOff>
    </xdr:from>
    <xdr:to>
      <xdr:col>10</xdr:col>
      <xdr:colOff>476249</xdr:colOff>
      <xdr:row>18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55BE40-5883-739A-DF1A-D9DE6CB60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1</xdr:row>
      <xdr:rowOff>95250</xdr:rowOff>
    </xdr:from>
    <xdr:to>
      <xdr:col>17</xdr:col>
      <xdr:colOff>0</xdr:colOff>
      <xdr:row>20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9020EE-51EC-516A-DDEB-F7A5DEA9F5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138112</xdr:colOff>
      <xdr:row>1</xdr:row>
      <xdr:rowOff>28575</xdr:rowOff>
    </xdr:from>
    <xdr:to>
      <xdr:col>10</xdr:col>
      <xdr:colOff>1476375</xdr:colOff>
      <xdr:row>24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12779F-65E3-5CA6-CD00-85E82A077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1733549</xdr:colOff>
      <xdr:row>1</xdr:row>
      <xdr:rowOff>33336</xdr:rowOff>
    </xdr:from>
    <xdr:to>
      <xdr:col>19</xdr:col>
      <xdr:colOff>514350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8FA6F6-4BE7-099D-5B58-2F39EEF42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138112</xdr:colOff>
      <xdr:row>1</xdr:row>
      <xdr:rowOff>57150</xdr:rowOff>
    </xdr:from>
    <xdr:to>
      <xdr:col>17</xdr:col>
      <xdr:colOff>400050</xdr:colOff>
      <xdr:row>18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E74F4C-75F1-5675-ED16-20C118A17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180974</xdr:colOff>
      <xdr:row>1</xdr:row>
      <xdr:rowOff>161925</xdr:rowOff>
    </xdr:from>
    <xdr:to>
      <xdr:col>11</xdr:col>
      <xdr:colOff>257175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6C873B-6D36-3D8E-2BAC-534632CEB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409574</xdr:colOff>
      <xdr:row>1</xdr:row>
      <xdr:rowOff>152400</xdr:rowOff>
    </xdr:from>
    <xdr:to>
      <xdr:col>21</xdr:col>
      <xdr:colOff>571500</xdr:colOff>
      <xdr:row>22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2B67CF-615E-8AD7-4FF2-23F01E8D2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114299</xdr:colOff>
      <xdr:row>2</xdr:row>
      <xdr:rowOff>52386</xdr:rowOff>
    </xdr:from>
    <xdr:to>
      <xdr:col>15</xdr:col>
      <xdr:colOff>523874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60CAEF-D6F6-A39B-012D-3F3E41231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1</xdr:row>
      <xdr:rowOff>95249</xdr:rowOff>
    </xdr:from>
    <xdr:to>
      <xdr:col>12</xdr:col>
      <xdr:colOff>114300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C0AE52-C645-7D7C-07EB-13D9706F9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457199</xdr:colOff>
      <xdr:row>1</xdr:row>
      <xdr:rowOff>85725</xdr:rowOff>
    </xdr:from>
    <xdr:to>
      <xdr:col>22</xdr:col>
      <xdr:colOff>466724</xdr:colOff>
      <xdr:row>23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51A2A1-85D2-B494-06F9-45C15C6D3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2</xdr:row>
      <xdr:rowOff>109536</xdr:rowOff>
    </xdr:from>
    <xdr:to>
      <xdr:col>15</xdr:col>
      <xdr:colOff>447675</xdr:colOff>
      <xdr:row>20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DF4918-A9B7-F3C3-C344-C9B9D5F05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1</xdr:row>
      <xdr:rowOff>95249</xdr:rowOff>
    </xdr:from>
    <xdr:to>
      <xdr:col>12</xdr:col>
      <xdr:colOff>114300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4DAA4B-EB93-456D-8D6B-A8360A3A9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457199</xdr:colOff>
      <xdr:row>1</xdr:row>
      <xdr:rowOff>85725</xdr:rowOff>
    </xdr:from>
    <xdr:to>
      <xdr:col>22</xdr:col>
      <xdr:colOff>466724</xdr:colOff>
      <xdr:row>23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D7C3B8-AAAE-45B1-B785-CA44385C4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2</xdr:row>
      <xdr:rowOff>109536</xdr:rowOff>
    </xdr:from>
    <xdr:to>
      <xdr:col>15</xdr:col>
      <xdr:colOff>447675</xdr:colOff>
      <xdr:row>20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80710E-B568-4393-A232-C7396CF89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1</xdr:row>
      <xdr:rowOff>95249</xdr:rowOff>
    </xdr:from>
    <xdr:to>
      <xdr:col>12</xdr:col>
      <xdr:colOff>114300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E1DCC5-35BA-45D2-9640-B0AE75F48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457199</xdr:colOff>
      <xdr:row>1</xdr:row>
      <xdr:rowOff>85725</xdr:rowOff>
    </xdr:from>
    <xdr:to>
      <xdr:col>22</xdr:col>
      <xdr:colOff>466724</xdr:colOff>
      <xdr:row>23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5F4914-8A22-4E90-9501-B964A5713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2</xdr:row>
      <xdr:rowOff>109536</xdr:rowOff>
    </xdr:from>
    <xdr:to>
      <xdr:col>15</xdr:col>
      <xdr:colOff>447675</xdr:colOff>
      <xdr:row>20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F8B739-918A-4D0A-8AB5-6C1E9DE94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1</xdr:row>
      <xdr:rowOff>95249</xdr:rowOff>
    </xdr:from>
    <xdr:to>
      <xdr:col>12</xdr:col>
      <xdr:colOff>114300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C5C8D-3FCB-48FC-A135-B561CE954D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457199</xdr:colOff>
      <xdr:row>1</xdr:row>
      <xdr:rowOff>85725</xdr:rowOff>
    </xdr:from>
    <xdr:to>
      <xdr:col>22</xdr:col>
      <xdr:colOff>466724</xdr:colOff>
      <xdr:row>23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020268-269F-420F-B4E6-928EC76F4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2</xdr:row>
      <xdr:rowOff>109536</xdr:rowOff>
    </xdr:from>
    <xdr:to>
      <xdr:col>15</xdr:col>
      <xdr:colOff>447675</xdr:colOff>
      <xdr:row>22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E32B55-D096-4388-8C2B-BDB251E06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1</xdr:row>
      <xdr:rowOff>95249</xdr:rowOff>
    </xdr:from>
    <xdr:to>
      <xdr:col>12</xdr:col>
      <xdr:colOff>114300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261588-70C6-4E50-9EA0-ECDEFFD6C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457199</xdr:colOff>
      <xdr:row>1</xdr:row>
      <xdr:rowOff>85725</xdr:rowOff>
    </xdr:from>
    <xdr:to>
      <xdr:col>22</xdr:col>
      <xdr:colOff>466724</xdr:colOff>
      <xdr:row>23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A6E1FB-2408-468A-9C7D-B350C425B7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2</xdr:row>
      <xdr:rowOff>109536</xdr:rowOff>
    </xdr:from>
    <xdr:to>
      <xdr:col>15</xdr:col>
      <xdr:colOff>447675</xdr:colOff>
      <xdr:row>22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A312C1-43E1-4B71-8C8E-D7B552874A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2</xdr:row>
      <xdr:rowOff>109536</xdr:rowOff>
    </xdr:from>
    <xdr:to>
      <xdr:col>15</xdr:col>
      <xdr:colOff>447675</xdr:colOff>
      <xdr:row>23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2656B2-39DF-4398-87A7-F7B73F030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2</xdr:row>
      <xdr:rowOff>109536</xdr:rowOff>
    </xdr:from>
    <xdr:to>
      <xdr:col>15</xdr:col>
      <xdr:colOff>447675</xdr:colOff>
      <xdr:row>24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604A2F-BC21-4F07-83DA-5B2B929CD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2</xdr:row>
      <xdr:rowOff>109536</xdr:rowOff>
    </xdr:from>
    <xdr:to>
      <xdr:col>15</xdr:col>
      <xdr:colOff>447675</xdr:colOff>
      <xdr:row>20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C3CE7A-A63B-4356-91CD-8A8094D4A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2</xdr:row>
      <xdr:rowOff>109536</xdr:rowOff>
    </xdr:from>
    <xdr:to>
      <xdr:col>15</xdr:col>
      <xdr:colOff>447675</xdr:colOff>
      <xdr:row>24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3F9374-3898-4A80-B97C-F0CAA54E1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85A77-5E39-4FAD-A65C-2CFB08EA5DB1}">
  <sheetPr codeName="Sheet1"/>
  <dimension ref="A1:D14"/>
  <sheetViews>
    <sheetView workbookViewId="0"/>
  </sheetViews>
  <sheetFormatPr defaultRowHeight="14.25" x14ac:dyDescent="0.45"/>
  <cols>
    <col min="1" max="1" width="14.1328125" bestFit="1" customWidth="1"/>
    <col min="2" max="2" width="14" bestFit="1" customWidth="1"/>
    <col min="3" max="3" width="14.73046875" bestFit="1" customWidth="1"/>
    <col min="4" max="4" width="16.59765625" bestFit="1" customWidth="1"/>
  </cols>
  <sheetData>
    <row r="1" spans="1:4" x14ac:dyDescent="0.45">
      <c r="A1" t="s">
        <v>0</v>
      </c>
      <c r="B1" s="3" t="s">
        <v>1</v>
      </c>
      <c r="C1" s="3" t="s">
        <v>2</v>
      </c>
      <c r="D1" t="s">
        <v>3</v>
      </c>
    </row>
    <row r="2" spans="1:4" x14ac:dyDescent="0.45">
      <c r="A2" t="s">
        <v>4</v>
      </c>
      <c r="B2">
        <v>63</v>
      </c>
      <c r="C2">
        <v>21</v>
      </c>
      <c r="D2">
        <v>49</v>
      </c>
    </row>
    <row r="3" spans="1:4" x14ac:dyDescent="0.45">
      <c r="A3" t="s">
        <v>5</v>
      </c>
      <c r="B3">
        <v>73</v>
      </c>
      <c r="C3">
        <v>20</v>
      </c>
      <c r="D3">
        <v>69</v>
      </c>
    </row>
    <row r="4" spans="1:4" x14ac:dyDescent="0.45">
      <c r="A4" t="s">
        <v>6</v>
      </c>
      <c r="B4">
        <v>76</v>
      </c>
      <c r="C4">
        <v>12</v>
      </c>
      <c r="D4">
        <v>62</v>
      </c>
    </row>
    <row r="5" spans="1:4" x14ac:dyDescent="0.45">
      <c r="A5" t="s">
        <v>7</v>
      </c>
      <c r="B5">
        <v>59</v>
      </c>
      <c r="C5">
        <v>11</v>
      </c>
      <c r="D5">
        <v>76</v>
      </c>
    </row>
    <row r="6" spans="1:4" x14ac:dyDescent="0.45">
      <c r="A6" t="s">
        <v>8</v>
      </c>
      <c r="B6">
        <v>18</v>
      </c>
      <c r="C6">
        <v>2</v>
      </c>
      <c r="D6">
        <v>72</v>
      </c>
    </row>
    <row r="7" spans="1:4" x14ac:dyDescent="0.45">
      <c r="A7" t="s">
        <v>9</v>
      </c>
    </row>
    <row r="8" spans="1:4" x14ac:dyDescent="0.45">
      <c r="A8" t="s">
        <v>10</v>
      </c>
    </row>
    <row r="9" spans="1:4" x14ac:dyDescent="0.45">
      <c r="A9" t="s">
        <v>11</v>
      </c>
    </row>
    <row r="10" spans="1:4" x14ac:dyDescent="0.45">
      <c r="A10" t="s">
        <v>12</v>
      </c>
    </row>
    <row r="11" spans="1:4" x14ac:dyDescent="0.45">
      <c r="A11" t="s">
        <v>13</v>
      </c>
    </row>
    <row r="12" spans="1:4" x14ac:dyDescent="0.45">
      <c r="A12" t="s">
        <v>14</v>
      </c>
    </row>
    <row r="13" spans="1:4" x14ac:dyDescent="0.45">
      <c r="A13" t="s">
        <v>15</v>
      </c>
    </row>
    <row r="14" spans="1:4" x14ac:dyDescent="0.45">
      <c r="A14" t="s">
        <v>16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5E2E-9B05-4543-BF40-3AB7F6B39781}">
  <sheetPr codeName="Sheet2"/>
  <dimension ref="A1:S87"/>
  <sheetViews>
    <sheetView tabSelected="1" workbookViewId="0">
      <selection activeCell="D26" sqref="D26"/>
    </sheetView>
  </sheetViews>
  <sheetFormatPr defaultRowHeight="14.25" x14ac:dyDescent="0.45"/>
  <cols>
    <col min="1" max="1" width="10.86328125" bestFit="1" customWidth="1"/>
    <col min="2" max="2" width="15.86328125" bestFit="1" customWidth="1"/>
    <col min="16" max="16" width="9.73046875" bestFit="1" customWidth="1"/>
  </cols>
  <sheetData>
    <row r="1" spans="1:19" x14ac:dyDescent="0.45">
      <c r="A1" t="s">
        <v>0</v>
      </c>
      <c r="B1" t="s">
        <v>17</v>
      </c>
      <c r="C1" t="s">
        <v>18</v>
      </c>
    </row>
    <row r="2" spans="1:19" x14ac:dyDescent="0.45">
      <c r="A2" t="s">
        <v>4</v>
      </c>
      <c r="B2" s="2">
        <v>0.49</v>
      </c>
      <c r="C2" s="2">
        <v>0.8</v>
      </c>
      <c r="P2" s="1"/>
      <c r="S2" s="2"/>
    </row>
    <row r="3" spans="1:19" x14ac:dyDescent="0.45">
      <c r="A3" t="s">
        <v>5</v>
      </c>
      <c r="B3" s="2">
        <v>0.69</v>
      </c>
      <c r="C3" s="2">
        <v>0.8</v>
      </c>
      <c r="P3" s="1"/>
      <c r="S3" s="2"/>
    </row>
    <row r="4" spans="1:19" x14ac:dyDescent="0.45">
      <c r="A4" t="s">
        <v>6</v>
      </c>
      <c r="B4" s="2">
        <v>0.62</v>
      </c>
      <c r="C4" s="2">
        <v>0.8</v>
      </c>
      <c r="P4" s="1"/>
      <c r="S4" s="2"/>
    </row>
    <row r="5" spans="1:19" x14ac:dyDescent="0.45">
      <c r="A5" t="s">
        <v>19</v>
      </c>
      <c r="B5" s="2">
        <v>0.76</v>
      </c>
      <c r="C5" s="2">
        <v>0.8</v>
      </c>
      <c r="P5" s="1"/>
      <c r="S5" s="2"/>
    </row>
    <row r="6" spans="1:19" x14ac:dyDescent="0.45">
      <c r="A6" t="s">
        <v>8</v>
      </c>
      <c r="B6" s="2">
        <v>0.76</v>
      </c>
      <c r="C6" s="2">
        <v>0.8</v>
      </c>
      <c r="P6" s="1"/>
      <c r="S6" s="2"/>
    </row>
    <row r="7" spans="1:19" x14ac:dyDescent="0.45">
      <c r="A7" t="s">
        <v>9</v>
      </c>
      <c r="B7" s="2">
        <v>0.79</v>
      </c>
      <c r="C7" s="2">
        <v>0.8</v>
      </c>
      <c r="P7" s="1"/>
      <c r="S7" s="2"/>
    </row>
    <row r="8" spans="1:19" x14ac:dyDescent="0.45">
      <c r="A8" t="s">
        <v>10</v>
      </c>
      <c r="B8" s="2">
        <v>0.82</v>
      </c>
      <c r="C8" s="2">
        <v>0.8</v>
      </c>
      <c r="P8" s="1"/>
      <c r="S8" s="2"/>
    </row>
    <row r="9" spans="1:19" x14ac:dyDescent="0.45">
      <c r="A9" t="s">
        <v>11</v>
      </c>
      <c r="B9" s="2">
        <v>0.85</v>
      </c>
      <c r="C9" s="2">
        <v>0.8</v>
      </c>
      <c r="P9" s="1"/>
      <c r="S9" s="2"/>
    </row>
    <row r="10" spans="1:19" x14ac:dyDescent="0.45">
      <c r="A10" t="s">
        <v>12</v>
      </c>
      <c r="B10" s="2">
        <v>0.79</v>
      </c>
      <c r="C10" s="2">
        <v>0.8</v>
      </c>
      <c r="P10" s="1"/>
      <c r="S10" s="2"/>
    </row>
    <row r="11" spans="1:19" x14ac:dyDescent="0.45">
      <c r="A11" t="s">
        <v>13</v>
      </c>
      <c r="B11" s="2">
        <v>0.79</v>
      </c>
      <c r="C11" s="2">
        <v>0.8</v>
      </c>
      <c r="P11" s="1"/>
      <c r="S11" s="2"/>
    </row>
    <row r="12" spans="1:19" x14ac:dyDescent="0.45">
      <c r="A12" t="s">
        <v>14</v>
      </c>
      <c r="B12" s="2">
        <v>0.84</v>
      </c>
      <c r="C12" s="2">
        <v>0.8</v>
      </c>
      <c r="P12" s="1"/>
      <c r="S12" s="2"/>
    </row>
    <row r="13" spans="1:19" x14ac:dyDescent="0.45">
      <c r="A13" s="24" t="s">
        <v>15</v>
      </c>
      <c r="B13" s="25">
        <v>0.79</v>
      </c>
      <c r="C13" s="25">
        <v>0.8</v>
      </c>
      <c r="P13" s="1"/>
      <c r="S13" s="2"/>
    </row>
    <row r="14" spans="1:19" x14ac:dyDescent="0.45">
      <c r="A14" t="s">
        <v>4</v>
      </c>
      <c r="B14" s="2">
        <v>0.77</v>
      </c>
      <c r="C14" s="2">
        <v>0.8</v>
      </c>
      <c r="P14" s="1"/>
      <c r="S14" s="2"/>
    </row>
    <row r="15" spans="1:19" x14ac:dyDescent="0.45">
      <c r="A15" t="s">
        <v>5</v>
      </c>
      <c r="B15" s="2">
        <v>0.82</v>
      </c>
      <c r="C15" s="2">
        <v>0.8</v>
      </c>
      <c r="P15" s="1"/>
      <c r="S15" s="2"/>
    </row>
    <row r="16" spans="1:19" x14ac:dyDescent="0.45">
      <c r="A16" t="s">
        <v>6</v>
      </c>
      <c r="B16" s="2">
        <v>0.84</v>
      </c>
      <c r="C16" s="2">
        <v>0.8</v>
      </c>
      <c r="P16" s="1"/>
      <c r="S16" s="2"/>
    </row>
    <row r="17" spans="1:19" x14ac:dyDescent="0.45">
      <c r="A17" t="s">
        <v>19</v>
      </c>
      <c r="B17" s="2">
        <v>0.9</v>
      </c>
      <c r="C17" s="2">
        <v>0.8</v>
      </c>
      <c r="P17" s="1"/>
      <c r="S17" s="2"/>
    </row>
    <row r="18" spans="1:19" x14ac:dyDescent="0.45">
      <c r="A18" t="s">
        <v>8</v>
      </c>
      <c r="B18" s="2">
        <v>0.81</v>
      </c>
      <c r="C18" s="2">
        <v>0.8</v>
      </c>
      <c r="P18" s="1"/>
      <c r="S18" s="2"/>
    </row>
    <row r="19" spans="1:19" x14ac:dyDescent="0.45">
      <c r="A19" t="s">
        <v>20</v>
      </c>
      <c r="B19" s="2">
        <f>AVERAGE(B2:B17)</f>
        <v>0.76999999999999991</v>
      </c>
      <c r="P19" s="1"/>
      <c r="S19" s="2"/>
    </row>
    <row r="20" spans="1:19" x14ac:dyDescent="0.45">
      <c r="P20" s="1"/>
      <c r="S20" s="2"/>
    </row>
    <row r="21" spans="1:19" x14ac:dyDescent="0.45">
      <c r="P21" s="1"/>
      <c r="S21" s="2"/>
    </row>
    <row r="22" spans="1:19" x14ac:dyDescent="0.45">
      <c r="P22" s="1"/>
      <c r="S22" s="2"/>
    </row>
    <row r="23" spans="1:19" x14ac:dyDescent="0.45">
      <c r="P23" s="1"/>
      <c r="S23" s="2"/>
    </row>
    <row r="24" spans="1:19" x14ac:dyDescent="0.45">
      <c r="P24" s="1"/>
      <c r="S24" s="2"/>
    </row>
    <row r="25" spans="1:19" x14ac:dyDescent="0.45">
      <c r="P25" s="1"/>
      <c r="S25" s="2"/>
    </row>
    <row r="26" spans="1:19" x14ac:dyDescent="0.45">
      <c r="P26" s="1"/>
      <c r="S26" s="2"/>
    </row>
    <row r="27" spans="1:19" x14ac:dyDescent="0.45">
      <c r="P27" s="1"/>
      <c r="S27" s="2"/>
    </row>
    <row r="28" spans="1:19" x14ac:dyDescent="0.45">
      <c r="P28" s="1"/>
      <c r="S28" s="2"/>
    </row>
    <row r="29" spans="1:19" x14ac:dyDescent="0.45">
      <c r="P29" s="1"/>
      <c r="S29" s="2"/>
    </row>
    <row r="30" spans="1:19" x14ac:dyDescent="0.45">
      <c r="P30" s="1"/>
      <c r="S30" s="2"/>
    </row>
    <row r="31" spans="1:19" x14ac:dyDescent="0.45">
      <c r="P31" s="1"/>
      <c r="S31" s="2"/>
    </row>
    <row r="32" spans="1:19" x14ac:dyDescent="0.45">
      <c r="P32" s="1"/>
      <c r="S32" s="2"/>
    </row>
    <row r="33" spans="16:19" x14ac:dyDescent="0.45">
      <c r="P33" s="1"/>
      <c r="S33" s="2"/>
    </row>
    <row r="34" spans="16:19" x14ac:dyDescent="0.45">
      <c r="P34" s="1"/>
      <c r="S34" s="2"/>
    </row>
    <row r="35" spans="16:19" x14ac:dyDescent="0.45">
      <c r="P35" s="1"/>
      <c r="S35" s="2"/>
    </row>
    <row r="36" spans="16:19" x14ac:dyDescent="0.45">
      <c r="P36" s="1"/>
      <c r="S36" s="2"/>
    </row>
    <row r="37" spans="16:19" x14ac:dyDescent="0.45">
      <c r="P37" s="1"/>
      <c r="S37" s="2"/>
    </row>
    <row r="38" spans="16:19" x14ac:dyDescent="0.45">
      <c r="P38" s="1"/>
      <c r="S38" s="2"/>
    </row>
    <row r="39" spans="16:19" x14ac:dyDescent="0.45">
      <c r="P39" s="1"/>
      <c r="S39" s="2"/>
    </row>
    <row r="40" spans="16:19" x14ac:dyDescent="0.45">
      <c r="P40" s="1"/>
      <c r="S40" s="2"/>
    </row>
    <row r="41" spans="16:19" x14ac:dyDescent="0.45">
      <c r="P41" s="1"/>
      <c r="S41" s="2"/>
    </row>
    <row r="42" spans="16:19" x14ac:dyDescent="0.45">
      <c r="P42" s="1"/>
      <c r="S42" s="2"/>
    </row>
    <row r="43" spans="16:19" x14ac:dyDescent="0.45">
      <c r="P43" s="1"/>
      <c r="S43" s="2"/>
    </row>
    <row r="44" spans="16:19" x14ac:dyDescent="0.45">
      <c r="P44" s="1"/>
      <c r="S44" s="2"/>
    </row>
    <row r="45" spans="16:19" x14ac:dyDescent="0.45">
      <c r="P45" s="19"/>
      <c r="S45" s="2"/>
    </row>
    <row r="46" spans="16:19" x14ac:dyDescent="0.45">
      <c r="P46" s="19"/>
      <c r="S46" s="2"/>
    </row>
    <row r="47" spans="16:19" x14ac:dyDescent="0.45">
      <c r="P47" s="19"/>
      <c r="S47" s="2"/>
    </row>
    <row r="48" spans="16:19" x14ac:dyDescent="0.45">
      <c r="P48" s="19"/>
      <c r="S48" s="2"/>
    </row>
    <row r="49" spans="16:19" x14ac:dyDescent="0.45">
      <c r="P49" s="19"/>
      <c r="S49" s="2"/>
    </row>
    <row r="50" spans="16:19" x14ac:dyDescent="0.45">
      <c r="P50" s="19"/>
      <c r="S50" s="2"/>
    </row>
    <row r="51" spans="16:19" x14ac:dyDescent="0.45">
      <c r="P51" s="19"/>
      <c r="S51" s="2"/>
    </row>
    <row r="52" spans="16:19" x14ac:dyDescent="0.45">
      <c r="P52" s="19"/>
      <c r="S52" s="2"/>
    </row>
    <row r="53" spans="16:19" x14ac:dyDescent="0.45">
      <c r="P53" s="19"/>
      <c r="S53" s="2"/>
    </row>
    <row r="54" spans="16:19" x14ac:dyDescent="0.45">
      <c r="P54" s="19"/>
      <c r="S54" s="2"/>
    </row>
    <row r="55" spans="16:19" x14ac:dyDescent="0.45">
      <c r="P55" s="19"/>
      <c r="S55" s="2"/>
    </row>
    <row r="56" spans="16:19" x14ac:dyDescent="0.45">
      <c r="P56" s="19"/>
      <c r="S56" s="2"/>
    </row>
    <row r="57" spans="16:19" x14ac:dyDescent="0.45">
      <c r="P57" s="19"/>
      <c r="S57" s="2"/>
    </row>
    <row r="58" spans="16:19" x14ac:dyDescent="0.45">
      <c r="P58" s="19"/>
      <c r="S58" s="2"/>
    </row>
    <row r="59" spans="16:19" x14ac:dyDescent="0.45">
      <c r="P59" s="19"/>
      <c r="S59" s="2"/>
    </row>
    <row r="60" spans="16:19" x14ac:dyDescent="0.45">
      <c r="P60" s="19"/>
      <c r="S60" s="2"/>
    </row>
    <row r="61" spans="16:19" x14ac:dyDescent="0.45">
      <c r="P61" s="19"/>
      <c r="S61" s="2"/>
    </row>
    <row r="62" spans="16:19" x14ac:dyDescent="0.45">
      <c r="P62" s="19"/>
      <c r="S62" s="2"/>
    </row>
    <row r="63" spans="16:19" x14ac:dyDescent="0.45">
      <c r="P63" s="19"/>
      <c r="S63" s="2"/>
    </row>
    <row r="64" spans="16:19" x14ac:dyDescent="0.45">
      <c r="P64" s="19"/>
      <c r="S64" s="2"/>
    </row>
    <row r="65" spans="16:19" x14ac:dyDescent="0.45">
      <c r="P65" s="19"/>
      <c r="S65" s="2"/>
    </row>
    <row r="66" spans="16:19" x14ac:dyDescent="0.45">
      <c r="P66" s="1"/>
      <c r="S66" s="2"/>
    </row>
    <row r="67" spans="16:19" x14ac:dyDescent="0.45">
      <c r="P67" s="1"/>
      <c r="S67" s="2"/>
    </row>
    <row r="68" spans="16:19" x14ac:dyDescent="0.45">
      <c r="P68" s="1"/>
      <c r="S68" s="2"/>
    </row>
    <row r="69" spans="16:19" x14ac:dyDescent="0.45">
      <c r="P69" s="1"/>
      <c r="S69" s="2"/>
    </row>
    <row r="70" spans="16:19" x14ac:dyDescent="0.45">
      <c r="P70" s="1"/>
      <c r="S70" s="2"/>
    </row>
    <row r="71" spans="16:19" x14ac:dyDescent="0.45">
      <c r="P71" s="1"/>
      <c r="S71" s="2"/>
    </row>
    <row r="72" spans="16:19" x14ac:dyDescent="0.45">
      <c r="P72" s="1"/>
      <c r="S72" s="2"/>
    </row>
    <row r="73" spans="16:19" x14ac:dyDescent="0.45">
      <c r="P73" s="1"/>
      <c r="S73" s="2"/>
    </row>
    <row r="74" spans="16:19" x14ac:dyDescent="0.45">
      <c r="P74" s="1"/>
      <c r="S74" s="2"/>
    </row>
    <row r="75" spans="16:19" x14ac:dyDescent="0.45">
      <c r="P75" s="1"/>
      <c r="S75" s="2"/>
    </row>
    <row r="76" spans="16:19" x14ac:dyDescent="0.45">
      <c r="P76" s="1"/>
      <c r="S76" s="2"/>
    </row>
    <row r="77" spans="16:19" x14ac:dyDescent="0.45">
      <c r="P77" s="1"/>
      <c r="S77" s="2"/>
    </row>
    <row r="78" spans="16:19" x14ac:dyDescent="0.45">
      <c r="P78" s="1"/>
      <c r="S78" s="2"/>
    </row>
    <row r="79" spans="16:19" x14ac:dyDescent="0.45">
      <c r="P79" s="1"/>
      <c r="S79" s="2"/>
    </row>
    <row r="80" spans="16:19" x14ac:dyDescent="0.45">
      <c r="P80" s="1"/>
      <c r="S80" s="2"/>
    </row>
    <row r="81" spans="16:19" x14ac:dyDescent="0.45">
      <c r="P81" s="1"/>
      <c r="S81" s="2"/>
    </row>
    <row r="82" spans="16:19" x14ac:dyDescent="0.45">
      <c r="P82" s="1"/>
      <c r="S82" s="2"/>
    </row>
    <row r="83" spans="16:19" x14ac:dyDescent="0.45">
      <c r="P83" s="1"/>
      <c r="S83" s="2"/>
    </row>
    <row r="84" spans="16:19" x14ac:dyDescent="0.45">
      <c r="P84" s="1"/>
      <c r="S84" s="2"/>
    </row>
    <row r="85" spans="16:19" x14ac:dyDescent="0.45">
      <c r="P85" s="1"/>
      <c r="S85" s="2"/>
    </row>
    <row r="86" spans="16:19" x14ac:dyDescent="0.45">
      <c r="P86" s="1"/>
      <c r="S86" s="2"/>
    </row>
    <row r="87" spans="16:19" x14ac:dyDescent="0.45">
      <c r="P87" s="1"/>
      <c r="S87" s="2"/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058B-A320-4892-89C8-29B546A3D015}">
  <dimension ref="A1:B13"/>
  <sheetViews>
    <sheetView workbookViewId="0">
      <selection activeCell="E34" sqref="E34"/>
    </sheetView>
  </sheetViews>
  <sheetFormatPr defaultRowHeight="14.25" x14ac:dyDescent="0.45"/>
  <cols>
    <col min="1" max="1" width="10" style="3" bestFit="1" customWidth="1"/>
    <col min="2" max="2" width="9" style="3"/>
  </cols>
  <sheetData>
    <row r="1" spans="1:2" x14ac:dyDescent="0.45">
      <c r="A1" s="3" t="s">
        <v>0</v>
      </c>
      <c r="B1" s="3" t="s">
        <v>21</v>
      </c>
    </row>
    <row r="2" spans="1:2" x14ac:dyDescent="0.45">
      <c r="A2" s="3" t="s">
        <v>4</v>
      </c>
      <c r="B2" s="3">
        <v>0</v>
      </c>
    </row>
    <row r="3" spans="1:2" x14ac:dyDescent="0.45">
      <c r="A3" s="3" t="s">
        <v>5</v>
      </c>
      <c r="B3" s="3">
        <v>8</v>
      </c>
    </row>
    <row r="4" spans="1:2" x14ac:dyDescent="0.45">
      <c r="A4" s="3" t="s">
        <v>6</v>
      </c>
      <c r="B4" s="3">
        <v>3</v>
      </c>
    </row>
    <row r="5" spans="1:2" x14ac:dyDescent="0.45">
      <c r="A5" s="3" t="s">
        <v>7</v>
      </c>
      <c r="B5" s="3">
        <v>10</v>
      </c>
    </row>
    <row r="6" spans="1:2" x14ac:dyDescent="0.45">
      <c r="A6" s="3" t="s">
        <v>8</v>
      </c>
      <c r="B6" s="3">
        <v>8</v>
      </c>
    </row>
    <row r="7" spans="1:2" x14ac:dyDescent="0.45">
      <c r="A7" s="3" t="s">
        <v>9</v>
      </c>
      <c r="B7" s="3">
        <v>12</v>
      </c>
    </row>
    <row r="8" spans="1:2" x14ac:dyDescent="0.45">
      <c r="A8" s="3" t="s">
        <v>10</v>
      </c>
      <c r="B8" s="3">
        <v>13</v>
      </c>
    </row>
    <row r="9" spans="1:2" x14ac:dyDescent="0.45">
      <c r="A9" s="3" t="s">
        <v>11</v>
      </c>
      <c r="B9" s="3">
        <v>15</v>
      </c>
    </row>
    <row r="10" spans="1:2" x14ac:dyDescent="0.45">
      <c r="A10" s="3" t="s">
        <v>12</v>
      </c>
      <c r="B10" s="3">
        <v>16</v>
      </c>
    </row>
    <row r="11" spans="1:2" x14ac:dyDescent="0.45">
      <c r="A11" s="3" t="s">
        <v>13</v>
      </c>
      <c r="B11" s="3">
        <v>11</v>
      </c>
    </row>
    <row r="12" spans="1:2" x14ac:dyDescent="0.45">
      <c r="A12" s="3" t="s">
        <v>14</v>
      </c>
      <c r="B12" s="3">
        <v>12</v>
      </c>
    </row>
    <row r="13" spans="1:2" x14ac:dyDescent="0.45">
      <c r="A13" s="3" t="s">
        <v>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5B88-8093-4B01-A74F-A9307BCB076D}">
  <sheetPr codeName="Sheet3"/>
  <dimension ref="A1:E49"/>
  <sheetViews>
    <sheetView workbookViewId="0">
      <selection activeCell="E43" sqref="E43"/>
    </sheetView>
  </sheetViews>
  <sheetFormatPr defaultRowHeight="14.25" x14ac:dyDescent="0.45"/>
  <cols>
    <col min="1" max="1" width="14.1328125" bestFit="1" customWidth="1"/>
    <col min="2" max="2" width="19.86328125" bestFit="1" customWidth="1"/>
    <col min="3" max="3" width="10.73046875" bestFit="1" customWidth="1"/>
    <col min="4" max="4" width="21.1328125" bestFit="1" customWidth="1"/>
    <col min="5" max="5" width="29.73046875" bestFit="1" customWidth="1"/>
  </cols>
  <sheetData>
    <row r="1" spans="1:5" x14ac:dyDescent="0.45">
      <c r="A1" s="26" t="s">
        <v>22</v>
      </c>
      <c r="B1" s="27"/>
      <c r="C1" s="27"/>
      <c r="D1" s="27"/>
      <c r="E1" s="28"/>
    </row>
    <row r="2" spans="1:5" x14ac:dyDescent="0.45">
      <c r="A2" s="11" t="s">
        <v>23</v>
      </c>
      <c r="B2" s="3" t="s">
        <v>24</v>
      </c>
      <c r="C2" s="3" t="s">
        <v>25</v>
      </c>
      <c r="D2" s="3" t="s">
        <v>26</v>
      </c>
      <c r="E2" s="12" t="s">
        <v>27</v>
      </c>
    </row>
    <row r="3" spans="1:5" x14ac:dyDescent="0.45">
      <c r="A3" s="13">
        <v>45663</v>
      </c>
      <c r="B3" t="s">
        <v>28</v>
      </c>
      <c r="C3" t="s">
        <v>29</v>
      </c>
      <c r="D3" t="s">
        <v>30</v>
      </c>
      <c r="E3" s="5" t="s">
        <v>31</v>
      </c>
    </row>
    <row r="4" spans="1:5" x14ac:dyDescent="0.45">
      <c r="A4" s="13">
        <v>45671</v>
      </c>
      <c r="B4" t="s">
        <v>28</v>
      </c>
      <c r="C4" t="s">
        <v>29</v>
      </c>
      <c r="D4" t="s">
        <v>32</v>
      </c>
      <c r="E4" s="5" t="s">
        <v>33</v>
      </c>
    </row>
    <row r="5" spans="1:5" x14ac:dyDescent="0.45">
      <c r="A5" s="13">
        <v>45686</v>
      </c>
      <c r="B5" t="s">
        <v>28</v>
      </c>
      <c r="C5" t="s">
        <v>29</v>
      </c>
      <c r="D5" t="s">
        <v>34</v>
      </c>
      <c r="E5" s="5" t="s">
        <v>35</v>
      </c>
    </row>
    <row r="6" spans="1:5" x14ac:dyDescent="0.45">
      <c r="A6" s="13">
        <v>45663</v>
      </c>
      <c r="B6" t="s">
        <v>36</v>
      </c>
      <c r="C6" t="s">
        <v>37</v>
      </c>
      <c r="D6" t="s">
        <v>38</v>
      </c>
      <c r="E6" s="5" t="s">
        <v>39</v>
      </c>
    </row>
    <row r="7" spans="1:5" x14ac:dyDescent="0.45">
      <c r="A7" s="13">
        <v>45666</v>
      </c>
      <c r="B7" t="s">
        <v>36</v>
      </c>
      <c r="C7" t="s">
        <v>37</v>
      </c>
      <c r="D7" t="s">
        <v>40</v>
      </c>
      <c r="E7" s="5" t="s">
        <v>41</v>
      </c>
    </row>
    <row r="8" spans="1:5" x14ac:dyDescent="0.45">
      <c r="A8" s="13">
        <v>45673</v>
      </c>
      <c r="B8" t="s">
        <v>36</v>
      </c>
      <c r="C8" t="s">
        <v>37</v>
      </c>
      <c r="D8" t="s">
        <v>42</v>
      </c>
      <c r="E8" s="5" t="s">
        <v>43</v>
      </c>
    </row>
    <row r="9" spans="1:5" x14ac:dyDescent="0.45">
      <c r="A9" s="13" t="s">
        <v>44</v>
      </c>
      <c r="B9" t="s">
        <v>36</v>
      </c>
      <c r="C9" t="s">
        <v>37</v>
      </c>
      <c r="D9" t="s">
        <v>42</v>
      </c>
      <c r="E9" s="5"/>
    </row>
    <row r="10" spans="1:5" x14ac:dyDescent="0.45">
      <c r="A10" s="13">
        <v>45670</v>
      </c>
      <c r="B10" t="s">
        <v>45</v>
      </c>
      <c r="C10" t="s">
        <v>46</v>
      </c>
      <c r="D10" t="s">
        <v>47</v>
      </c>
      <c r="E10" s="5" t="s">
        <v>48</v>
      </c>
    </row>
    <row r="11" spans="1:5" x14ac:dyDescent="0.45">
      <c r="A11" s="13">
        <v>45684</v>
      </c>
      <c r="B11" t="s">
        <v>49</v>
      </c>
      <c r="C11" t="s">
        <v>50</v>
      </c>
      <c r="D11" t="s">
        <v>51</v>
      </c>
      <c r="E11" s="5" t="s">
        <v>52</v>
      </c>
    </row>
    <row r="12" spans="1:5" x14ac:dyDescent="0.45">
      <c r="A12" s="13">
        <v>45664</v>
      </c>
      <c r="B12" t="s">
        <v>53</v>
      </c>
      <c r="C12" t="s">
        <v>54</v>
      </c>
      <c r="D12" t="s">
        <v>40</v>
      </c>
      <c r="E12" s="5" t="s">
        <v>48</v>
      </c>
    </row>
    <row r="13" spans="1:5" x14ac:dyDescent="0.45">
      <c r="A13" s="13">
        <v>45681</v>
      </c>
      <c r="B13" t="s">
        <v>55</v>
      </c>
      <c r="C13" t="s">
        <v>56</v>
      </c>
      <c r="D13" t="s">
        <v>40</v>
      </c>
      <c r="E13" s="5" t="s">
        <v>57</v>
      </c>
    </row>
    <row r="14" spans="1:5" x14ac:dyDescent="0.45">
      <c r="A14" s="13">
        <v>45671</v>
      </c>
      <c r="B14" t="s">
        <v>58</v>
      </c>
      <c r="C14" t="s">
        <v>59</v>
      </c>
      <c r="D14" t="s">
        <v>60</v>
      </c>
      <c r="E14" s="5" t="s">
        <v>61</v>
      </c>
    </row>
    <row r="15" spans="1:5" x14ac:dyDescent="0.45">
      <c r="A15" s="13">
        <v>45668</v>
      </c>
      <c r="B15" t="s">
        <v>62</v>
      </c>
      <c r="C15" t="s">
        <v>63</v>
      </c>
      <c r="D15" t="s">
        <v>40</v>
      </c>
      <c r="E15" s="5" t="s">
        <v>64</v>
      </c>
    </row>
    <row r="16" spans="1:5" x14ac:dyDescent="0.45">
      <c r="A16" s="13">
        <v>45684</v>
      </c>
      <c r="B16" t="s">
        <v>65</v>
      </c>
      <c r="C16" t="s">
        <v>66</v>
      </c>
      <c r="D16" t="s">
        <v>42</v>
      </c>
      <c r="E16" s="5" t="s">
        <v>33</v>
      </c>
    </row>
    <row r="17" spans="1:5" x14ac:dyDescent="0.45">
      <c r="A17" s="13">
        <v>45663</v>
      </c>
      <c r="B17" t="s">
        <v>67</v>
      </c>
      <c r="C17" t="s">
        <v>68</v>
      </c>
      <c r="D17" t="s">
        <v>40</v>
      </c>
      <c r="E17" s="5" t="s">
        <v>69</v>
      </c>
    </row>
    <row r="18" spans="1:5" x14ac:dyDescent="0.45">
      <c r="A18" s="13">
        <v>45671</v>
      </c>
      <c r="B18" t="s">
        <v>67</v>
      </c>
      <c r="C18" t="s">
        <v>68</v>
      </c>
      <c r="D18" t="s">
        <v>40</v>
      </c>
      <c r="E18" s="5" t="s">
        <v>70</v>
      </c>
    </row>
    <row r="19" spans="1:5" x14ac:dyDescent="0.45">
      <c r="A19" s="13">
        <v>45673</v>
      </c>
      <c r="B19" t="s">
        <v>67</v>
      </c>
      <c r="C19" t="s">
        <v>68</v>
      </c>
      <c r="D19" t="s">
        <v>71</v>
      </c>
      <c r="E19" s="5" t="s">
        <v>72</v>
      </c>
    </row>
    <row r="20" spans="1:5" x14ac:dyDescent="0.45">
      <c r="A20" s="13">
        <v>45682</v>
      </c>
      <c r="B20" t="s">
        <v>67</v>
      </c>
      <c r="C20" t="s">
        <v>68</v>
      </c>
      <c r="D20" t="s">
        <v>73</v>
      </c>
      <c r="E20" s="5" t="s">
        <v>72</v>
      </c>
    </row>
    <row r="21" spans="1:5" x14ac:dyDescent="0.45">
      <c r="A21" s="13">
        <v>45685</v>
      </c>
      <c r="B21" t="s">
        <v>67</v>
      </c>
      <c r="C21" t="s">
        <v>68</v>
      </c>
      <c r="D21" t="s">
        <v>73</v>
      </c>
      <c r="E21" s="5" t="s">
        <v>72</v>
      </c>
    </row>
    <row r="22" spans="1:5" x14ac:dyDescent="0.45">
      <c r="A22" s="18">
        <v>45662</v>
      </c>
      <c r="B22" s="14" t="s">
        <v>74</v>
      </c>
      <c r="C22" s="14" t="s">
        <v>75</v>
      </c>
      <c r="D22" s="14" t="s">
        <v>76</v>
      </c>
      <c r="E22" s="15" t="s">
        <v>72</v>
      </c>
    </row>
    <row r="23" spans="1:5" ht="14.65" thickBot="1" x14ac:dyDescent="0.5">
      <c r="A23" s="16">
        <v>45671</v>
      </c>
      <c r="B23" s="9" t="s">
        <v>77</v>
      </c>
      <c r="C23" s="9" t="s">
        <v>78</v>
      </c>
      <c r="D23" s="9" t="s">
        <v>79</v>
      </c>
      <c r="E23" s="17" t="s">
        <v>69</v>
      </c>
    </row>
    <row r="25" spans="1:5" x14ac:dyDescent="0.45">
      <c r="A25" t="s">
        <v>25</v>
      </c>
      <c r="B25" s="3" t="s">
        <v>80</v>
      </c>
      <c r="C25" t="s">
        <v>81</v>
      </c>
      <c r="D25" t="s">
        <v>16</v>
      </c>
    </row>
    <row r="26" spans="1:5" ht="15" x14ac:dyDescent="0.25">
      <c r="A26" t="s">
        <v>82</v>
      </c>
      <c r="B26" s="3">
        <v>5</v>
      </c>
      <c r="C26">
        <v>3</v>
      </c>
      <c r="D26">
        <f>SUM(B26:C26)</f>
        <v>8</v>
      </c>
    </row>
    <row r="27" spans="1:5" ht="15" x14ac:dyDescent="0.25">
      <c r="A27" t="s">
        <v>37</v>
      </c>
      <c r="B27" s="3">
        <v>3</v>
      </c>
      <c r="C27">
        <v>4</v>
      </c>
      <c r="D27">
        <f t="shared" ref="D27:D49" si="0">SUM(B27:C27)</f>
        <v>7</v>
      </c>
    </row>
    <row r="28" spans="1:5" ht="15" x14ac:dyDescent="0.25">
      <c r="A28" t="s">
        <v>83</v>
      </c>
      <c r="B28" s="3">
        <v>2</v>
      </c>
      <c r="C28">
        <v>0</v>
      </c>
      <c r="D28">
        <f t="shared" si="0"/>
        <v>2</v>
      </c>
    </row>
    <row r="29" spans="1:5" ht="15" x14ac:dyDescent="0.25">
      <c r="A29" t="s">
        <v>84</v>
      </c>
      <c r="B29" s="3">
        <v>4</v>
      </c>
      <c r="C29">
        <v>0</v>
      </c>
      <c r="D29">
        <f t="shared" si="0"/>
        <v>4</v>
      </c>
    </row>
    <row r="30" spans="1:5" x14ac:dyDescent="0.45">
      <c r="A30" t="s">
        <v>46</v>
      </c>
      <c r="B30" s="3">
        <v>1</v>
      </c>
      <c r="C30">
        <v>1</v>
      </c>
      <c r="D30">
        <f t="shared" si="0"/>
        <v>2</v>
      </c>
    </row>
    <row r="31" spans="1:5" x14ac:dyDescent="0.45">
      <c r="A31" t="s">
        <v>85</v>
      </c>
      <c r="B31" s="3">
        <v>5</v>
      </c>
      <c r="C31">
        <v>1</v>
      </c>
      <c r="D31">
        <f t="shared" si="0"/>
        <v>6</v>
      </c>
    </row>
    <row r="32" spans="1:5" x14ac:dyDescent="0.45">
      <c r="A32" t="s">
        <v>86</v>
      </c>
      <c r="B32" s="3">
        <v>0</v>
      </c>
      <c r="C32">
        <v>1</v>
      </c>
      <c r="D32">
        <f t="shared" si="0"/>
        <v>1</v>
      </c>
    </row>
    <row r="33" spans="1:4" x14ac:dyDescent="0.45">
      <c r="A33" t="s">
        <v>87</v>
      </c>
      <c r="B33" s="3">
        <v>1</v>
      </c>
      <c r="C33">
        <v>0</v>
      </c>
      <c r="D33">
        <f t="shared" si="0"/>
        <v>1</v>
      </c>
    </row>
    <row r="34" spans="1:4" x14ac:dyDescent="0.45">
      <c r="A34" t="s">
        <v>54</v>
      </c>
      <c r="B34" s="3">
        <v>2</v>
      </c>
      <c r="C34">
        <v>1</v>
      </c>
      <c r="D34">
        <f t="shared" si="0"/>
        <v>3</v>
      </c>
    </row>
    <row r="35" spans="1:4" x14ac:dyDescent="0.45">
      <c r="A35" t="s">
        <v>88</v>
      </c>
      <c r="B35" s="3">
        <v>3</v>
      </c>
      <c r="C35">
        <v>0</v>
      </c>
      <c r="D35">
        <f t="shared" si="0"/>
        <v>3</v>
      </c>
    </row>
    <row r="36" spans="1:4" x14ac:dyDescent="0.45">
      <c r="A36" t="s">
        <v>89</v>
      </c>
      <c r="B36" s="3">
        <v>3</v>
      </c>
      <c r="C36">
        <v>0</v>
      </c>
      <c r="D36">
        <f t="shared" si="0"/>
        <v>3</v>
      </c>
    </row>
    <row r="37" spans="1:4" x14ac:dyDescent="0.45">
      <c r="A37" t="s">
        <v>59</v>
      </c>
      <c r="B37" s="3">
        <v>6</v>
      </c>
      <c r="C37">
        <v>1</v>
      </c>
      <c r="D37">
        <f t="shared" si="0"/>
        <v>7</v>
      </c>
    </row>
    <row r="38" spans="1:4" x14ac:dyDescent="0.45">
      <c r="A38" t="s">
        <v>90</v>
      </c>
      <c r="B38" s="3">
        <v>2</v>
      </c>
      <c r="C38">
        <v>0</v>
      </c>
      <c r="D38">
        <f t="shared" si="0"/>
        <v>2</v>
      </c>
    </row>
    <row r="39" spans="1:4" x14ac:dyDescent="0.45">
      <c r="A39" t="s">
        <v>66</v>
      </c>
      <c r="B39" s="3">
        <v>4</v>
      </c>
      <c r="C39">
        <v>1</v>
      </c>
      <c r="D39">
        <f t="shared" si="0"/>
        <v>5</v>
      </c>
    </row>
    <row r="40" spans="1:4" x14ac:dyDescent="0.45">
      <c r="A40" t="s">
        <v>68</v>
      </c>
      <c r="B40" s="3">
        <v>3</v>
      </c>
      <c r="C40">
        <v>5</v>
      </c>
      <c r="D40">
        <f t="shared" si="0"/>
        <v>8</v>
      </c>
    </row>
    <row r="41" spans="1:4" x14ac:dyDescent="0.45">
      <c r="A41" t="s">
        <v>91</v>
      </c>
      <c r="B41" s="3">
        <v>2</v>
      </c>
      <c r="C41">
        <v>0</v>
      </c>
      <c r="D41">
        <f t="shared" si="0"/>
        <v>2</v>
      </c>
    </row>
    <row r="42" spans="1:4" x14ac:dyDescent="0.45">
      <c r="A42" t="s">
        <v>75</v>
      </c>
      <c r="B42" s="3">
        <v>2</v>
      </c>
      <c r="C42">
        <v>1</v>
      </c>
      <c r="D42">
        <f t="shared" si="0"/>
        <v>3</v>
      </c>
    </row>
    <row r="43" spans="1:4" x14ac:dyDescent="0.45">
      <c r="A43" t="s">
        <v>92</v>
      </c>
      <c r="B43" s="3">
        <v>2</v>
      </c>
      <c r="C43">
        <v>0</v>
      </c>
      <c r="D43">
        <f t="shared" si="0"/>
        <v>2</v>
      </c>
    </row>
    <row r="44" spans="1:4" x14ac:dyDescent="0.45">
      <c r="A44" t="s">
        <v>93</v>
      </c>
      <c r="B44" s="3">
        <v>5</v>
      </c>
      <c r="C44">
        <v>0</v>
      </c>
      <c r="D44">
        <f t="shared" si="0"/>
        <v>5</v>
      </c>
    </row>
    <row r="45" spans="1:4" x14ac:dyDescent="0.45">
      <c r="A45" t="s">
        <v>78</v>
      </c>
      <c r="B45" s="3">
        <v>1</v>
      </c>
      <c r="C45">
        <v>1</v>
      </c>
      <c r="D45">
        <f t="shared" si="0"/>
        <v>2</v>
      </c>
    </row>
    <row r="46" spans="1:4" x14ac:dyDescent="0.45">
      <c r="A46" t="s">
        <v>94</v>
      </c>
      <c r="B46" s="3">
        <v>1</v>
      </c>
      <c r="C46">
        <v>0</v>
      </c>
      <c r="D46">
        <f t="shared" si="0"/>
        <v>1</v>
      </c>
    </row>
    <row r="47" spans="1:4" x14ac:dyDescent="0.45">
      <c r="A47" t="s">
        <v>95</v>
      </c>
      <c r="B47" s="3">
        <v>3</v>
      </c>
      <c r="C47">
        <v>1</v>
      </c>
      <c r="D47">
        <f t="shared" si="0"/>
        <v>4</v>
      </c>
    </row>
    <row r="48" spans="1:4" x14ac:dyDescent="0.45">
      <c r="A48" t="s">
        <v>96</v>
      </c>
      <c r="B48" s="3">
        <v>3</v>
      </c>
      <c r="C48">
        <v>0</v>
      </c>
      <c r="D48">
        <f t="shared" si="0"/>
        <v>3</v>
      </c>
    </row>
    <row r="49" spans="1:4" x14ac:dyDescent="0.45">
      <c r="A49" t="s">
        <v>16</v>
      </c>
      <c r="B49" s="3">
        <f>SUM(B26:B48)</f>
        <v>63</v>
      </c>
      <c r="C49" s="3">
        <f>SUM(C26:C48)</f>
        <v>21</v>
      </c>
      <c r="D49">
        <f t="shared" si="0"/>
        <v>84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ED98-6CBB-4C61-9A6F-83E9F6C3F3F9}">
  <sheetPr codeName="Sheet4"/>
  <dimension ref="A1:E22"/>
  <sheetViews>
    <sheetView workbookViewId="0">
      <selection activeCell="E27" sqref="E27"/>
    </sheetView>
  </sheetViews>
  <sheetFormatPr defaultRowHeight="14.25" x14ac:dyDescent="0.45"/>
  <cols>
    <col min="1" max="1" width="9.73046875" bestFit="1" customWidth="1"/>
    <col min="3" max="3" width="9.86328125" bestFit="1" customWidth="1"/>
    <col min="5" max="5" width="10" bestFit="1" customWidth="1"/>
  </cols>
  <sheetData>
    <row r="1" spans="1:5" x14ac:dyDescent="0.45">
      <c r="A1" t="s">
        <v>23</v>
      </c>
      <c r="B1" t="s">
        <v>97</v>
      </c>
      <c r="C1" t="s">
        <v>98</v>
      </c>
      <c r="D1" t="s">
        <v>99</v>
      </c>
      <c r="E1" t="s">
        <v>21</v>
      </c>
    </row>
    <row r="2" spans="1:5" x14ac:dyDescent="0.45">
      <c r="A2" s="1">
        <v>46024</v>
      </c>
      <c r="B2">
        <v>11</v>
      </c>
      <c r="C2">
        <v>13</v>
      </c>
      <c r="D2" s="2">
        <f t="shared" ref="D2:D21" si="0">SUM(B2/C2)</f>
        <v>0.84615384615384615</v>
      </c>
      <c r="E2">
        <v>1</v>
      </c>
    </row>
    <row r="3" spans="1:5" x14ac:dyDescent="0.45">
      <c r="A3" s="1">
        <v>46027</v>
      </c>
      <c r="B3">
        <v>9</v>
      </c>
      <c r="C3">
        <v>13</v>
      </c>
      <c r="D3" s="2">
        <f t="shared" si="0"/>
        <v>0.69230769230769229</v>
      </c>
    </row>
    <row r="4" spans="1:5" x14ac:dyDescent="0.45">
      <c r="A4" s="1">
        <v>46028</v>
      </c>
      <c r="B4">
        <v>8</v>
      </c>
      <c r="C4">
        <v>13</v>
      </c>
      <c r="D4" s="2">
        <f t="shared" si="0"/>
        <v>0.61538461538461542</v>
      </c>
    </row>
    <row r="5" spans="1:5" x14ac:dyDescent="0.45">
      <c r="A5" s="1">
        <v>46029</v>
      </c>
      <c r="B5">
        <v>11</v>
      </c>
      <c r="C5">
        <v>13</v>
      </c>
      <c r="D5" s="2">
        <f t="shared" si="0"/>
        <v>0.84615384615384615</v>
      </c>
      <c r="E5">
        <v>1</v>
      </c>
    </row>
    <row r="6" spans="1:5" x14ac:dyDescent="0.45">
      <c r="A6" s="1">
        <v>46030</v>
      </c>
      <c r="B6">
        <v>12</v>
      </c>
      <c r="C6">
        <v>13</v>
      </c>
      <c r="D6" s="2">
        <f t="shared" si="0"/>
        <v>0.92307692307692313</v>
      </c>
      <c r="E6">
        <v>1</v>
      </c>
    </row>
    <row r="7" spans="1:5" x14ac:dyDescent="0.45">
      <c r="A7" s="1">
        <v>46031</v>
      </c>
      <c r="B7">
        <v>11</v>
      </c>
      <c r="C7">
        <v>13</v>
      </c>
      <c r="D7" s="2">
        <f t="shared" si="0"/>
        <v>0.84615384615384615</v>
      </c>
      <c r="E7">
        <v>1</v>
      </c>
    </row>
    <row r="8" spans="1:5" x14ac:dyDescent="0.45">
      <c r="A8" s="1">
        <v>46034</v>
      </c>
      <c r="B8">
        <v>10</v>
      </c>
      <c r="C8">
        <v>13</v>
      </c>
      <c r="D8" s="2">
        <f t="shared" si="0"/>
        <v>0.76923076923076927</v>
      </c>
    </row>
    <row r="9" spans="1:5" x14ac:dyDescent="0.45">
      <c r="A9" s="1">
        <v>46035</v>
      </c>
      <c r="B9">
        <v>10</v>
      </c>
      <c r="C9">
        <v>13</v>
      </c>
      <c r="D9" s="2">
        <f t="shared" si="0"/>
        <v>0.76923076923076927</v>
      </c>
    </row>
    <row r="10" spans="1:5" x14ac:dyDescent="0.45">
      <c r="A10" s="1">
        <v>46036</v>
      </c>
      <c r="B10">
        <v>11</v>
      </c>
      <c r="C10">
        <v>13</v>
      </c>
      <c r="D10" s="2">
        <f t="shared" si="0"/>
        <v>0.84615384615384615</v>
      </c>
      <c r="E10">
        <v>1</v>
      </c>
    </row>
    <row r="11" spans="1:5" x14ac:dyDescent="0.45">
      <c r="A11" s="1">
        <v>46037</v>
      </c>
      <c r="B11">
        <v>11</v>
      </c>
      <c r="C11">
        <v>13</v>
      </c>
      <c r="D11" s="2">
        <f t="shared" si="0"/>
        <v>0.84615384615384615</v>
      </c>
      <c r="E11">
        <v>1</v>
      </c>
    </row>
    <row r="12" spans="1:5" x14ac:dyDescent="0.45">
      <c r="A12" s="1">
        <v>46038</v>
      </c>
      <c r="B12">
        <v>10</v>
      </c>
      <c r="C12">
        <v>13</v>
      </c>
      <c r="D12" s="2">
        <f t="shared" si="0"/>
        <v>0.76923076923076927</v>
      </c>
    </row>
    <row r="13" spans="1:5" x14ac:dyDescent="0.45">
      <c r="A13" s="1">
        <v>46042</v>
      </c>
      <c r="B13">
        <v>8</v>
      </c>
      <c r="C13">
        <v>13</v>
      </c>
      <c r="D13" s="2">
        <f t="shared" si="0"/>
        <v>0.61538461538461542</v>
      </c>
    </row>
    <row r="14" spans="1:5" x14ac:dyDescent="0.45">
      <c r="A14" s="1">
        <v>46043</v>
      </c>
      <c r="B14">
        <v>11</v>
      </c>
      <c r="C14">
        <v>13</v>
      </c>
      <c r="D14" s="2">
        <f t="shared" si="0"/>
        <v>0.84615384615384615</v>
      </c>
      <c r="E14">
        <v>1</v>
      </c>
    </row>
    <row r="15" spans="1:5" x14ac:dyDescent="0.45">
      <c r="A15" s="1">
        <v>46044</v>
      </c>
      <c r="B15">
        <v>11</v>
      </c>
      <c r="C15">
        <v>13</v>
      </c>
      <c r="D15" s="2">
        <f t="shared" si="0"/>
        <v>0.84615384615384615</v>
      </c>
      <c r="E15">
        <v>1</v>
      </c>
    </row>
    <row r="16" spans="1:5" x14ac:dyDescent="0.45">
      <c r="A16" s="1">
        <v>46045</v>
      </c>
      <c r="B16">
        <v>9</v>
      </c>
      <c r="C16">
        <v>13</v>
      </c>
      <c r="D16" s="2">
        <f t="shared" si="0"/>
        <v>0.69230769230769229</v>
      </c>
    </row>
    <row r="17" spans="1:5" x14ac:dyDescent="0.45">
      <c r="A17" s="1">
        <v>46048</v>
      </c>
      <c r="B17">
        <v>8</v>
      </c>
      <c r="C17">
        <v>13</v>
      </c>
      <c r="D17" s="2">
        <f t="shared" si="0"/>
        <v>0.61538461538461542</v>
      </c>
    </row>
    <row r="18" spans="1:5" x14ac:dyDescent="0.45">
      <c r="A18" s="1">
        <v>46049</v>
      </c>
      <c r="B18">
        <v>9</v>
      </c>
      <c r="C18">
        <v>13</v>
      </c>
      <c r="D18" s="2">
        <f t="shared" si="0"/>
        <v>0.69230769230769229</v>
      </c>
    </row>
    <row r="19" spans="1:5" x14ac:dyDescent="0.45">
      <c r="A19" s="1">
        <v>46050</v>
      </c>
      <c r="B19">
        <v>10</v>
      </c>
      <c r="C19">
        <v>13</v>
      </c>
      <c r="D19" s="2">
        <f t="shared" si="0"/>
        <v>0.76923076923076927</v>
      </c>
    </row>
    <row r="20" spans="1:5" x14ac:dyDescent="0.45">
      <c r="A20" s="1">
        <v>46051</v>
      </c>
      <c r="B20">
        <v>9</v>
      </c>
      <c r="C20">
        <v>13</v>
      </c>
      <c r="D20" s="2">
        <f t="shared" si="0"/>
        <v>0.69230769230769229</v>
      </c>
    </row>
    <row r="21" spans="1:5" x14ac:dyDescent="0.45">
      <c r="A21" s="1">
        <v>46052</v>
      </c>
      <c r="B21">
        <v>11</v>
      </c>
      <c r="C21">
        <v>13</v>
      </c>
      <c r="D21" s="2">
        <f t="shared" si="0"/>
        <v>0.84615384615384615</v>
      </c>
      <c r="E21">
        <v>1</v>
      </c>
    </row>
    <row r="22" spans="1:5" x14ac:dyDescent="0.45">
      <c r="A22" t="s">
        <v>20</v>
      </c>
      <c r="B22">
        <f>AVERAGE(B2:B21)</f>
        <v>10</v>
      </c>
      <c r="C22">
        <f>AVERAGE(C2:C21)</f>
        <v>13</v>
      </c>
      <c r="D22" s="2">
        <f>(B22/C22)</f>
        <v>0.76923076923076927</v>
      </c>
      <c r="E22">
        <f>COUNT(E2:E21)</f>
        <v>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690F1-4E35-444C-BD05-05C08D313565}">
  <sheetPr codeName="Sheet5"/>
  <dimension ref="A1:K58"/>
  <sheetViews>
    <sheetView workbookViewId="0">
      <selection activeCell="F27" sqref="F27"/>
    </sheetView>
  </sheetViews>
  <sheetFormatPr defaultRowHeight="14.25" x14ac:dyDescent="0.45"/>
  <cols>
    <col min="1" max="1" width="15.265625" bestFit="1" customWidth="1"/>
    <col min="2" max="2" width="14" bestFit="1" customWidth="1"/>
    <col min="3" max="3" width="20.1328125" bestFit="1" customWidth="1"/>
    <col min="4" max="4" width="19.265625" bestFit="1" customWidth="1"/>
    <col min="5" max="5" width="14.86328125" bestFit="1" customWidth="1"/>
    <col min="6" max="6" width="9.3984375" customWidth="1"/>
    <col min="7" max="7" width="10.59765625" bestFit="1" customWidth="1"/>
    <col min="8" max="8" width="19.86328125" bestFit="1" customWidth="1"/>
    <col min="9" max="9" width="10.73046875" bestFit="1" customWidth="1"/>
    <col min="10" max="10" width="21.1328125" bestFit="1" customWidth="1"/>
    <col min="11" max="11" width="29.73046875" bestFit="1" customWidth="1"/>
  </cols>
  <sheetData>
    <row r="1" spans="1:5" x14ac:dyDescent="0.45">
      <c r="A1" t="s">
        <v>25</v>
      </c>
      <c r="B1" s="3" t="s">
        <v>80</v>
      </c>
      <c r="C1" s="3" t="s">
        <v>2</v>
      </c>
      <c r="D1" s="3" t="s">
        <v>100</v>
      </c>
      <c r="E1" s="3" t="s">
        <v>101</v>
      </c>
    </row>
    <row r="2" spans="1:5" x14ac:dyDescent="0.45">
      <c r="A2" t="s">
        <v>82</v>
      </c>
      <c r="B2" s="3">
        <v>3</v>
      </c>
      <c r="C2" s="3">
        <v>1</v>
      </c>
      <c r="D2" s="3">
        <v>14</v>
      </c>
      <c r="E2" s="3">
        <v>0</v>
      </c>
    </row>
    <row r="3" spans="1:5" x14ac:dyDescent="0.45">
      <c r="A3" t="s">
        <v>37</v>
      </c>
      <c r="B3" s="3">
        <v>6</v>
      </c>
      <c r="C3" s="3">
        <v>1</v>
      </c>
      <c r="D3" s="3">
        <v>7</v>
      </c>
      <c r="E3" s="3">
        <v>0</v>
      </c>
    </row>
    <row r="4" spans="1:5" x14ac:dyDescent="0.45">
      <c r="A4" t="s">
        <v>83</v>
      </c>
      <c r="B4" s="3">
        <v>2</v>
      </c>
      <c r="C4" s="3">
        <v>1</v>
      </c>
      <c r="D4" s="3">
        <v>4</v>
      </c>
      <c r="E4" s="3">
        <v>0</v>
      </c>
    </row>
    <row r="5" spans="1:5" x14ac:dyDescent="0.45">
      <c r="A5" t="s">
        <v>84</v>
      </c>
      <c r="B5" s="3">
        <v>0</v>
      </c>
      <c r="C5" s="3">
        <v>0</v>
      </c>
      <c r="D5" s="3">
        <v>1</v>
      </c>
      <c r="E5" s="3">
        <v>0</v>
      </c>
    </row>
    <row r="6" spans="1:5" x14ac:dyDescent="0.45">
      <c r="A6" t="s">
        <v>46</v>
      </c>
      <c r="B6" s="3">
        <v>1</v>
      </c>
      <c r="C6" s="3">
        <v>1</v>
      </c>
      <c r="D6" s="3">
        <v>0</v>
      </c>
      <c r="E6" s="3">
        <v>0</v>
      </c>
    </row>
    <row r="7" spans="1:5" x14ac:dyDescent="0.45">
      <c r="A7" t="s">
        <v>85</v>
      </c>
      <c r="B7" s="3">
        <v>12</v>
      </c>
      <c r="C7" s="3">
        <v>3</v>
      </c>
      <c r="D7" s="3">
        <v>5</v>
      </c>
      <c r="E7" s="3">
        <v>0</v>
      </c>
    </row>
    <row r="8" spans="1:5" x14ac:dyDescent="0.45">
      <c r="A8" t="s">
        <v>86</v>
      </c>
      <c r="B8" s="3">
        <v>1</v>
      </c>
      <c r="C8" s="3">
        <v>0</v>
      </c>
      <c r="D8" s="3">
        <v>3</v>
      </c>
      <c r="E8" s="3">
        <v>0</v>
      </c>
    </row>
    <row r="9" spans="1:5" x14ac:dyDescent="0.45">
      <c r="A9" t="s">
        <v>87</v>
      </c>
      <c r="B9" s="3">
        <v>3</v>
      </c>
      <c r="C9" s="3">
        <v>3</v>
      </c>
      <c r="D9" s="3">
        <v>13</v>
      </c>
      <c r="E9" s="3">
        <v>0</v>
      </c>
    </row>
    <row r="10" spans="1:5" x14ac:dyDescent="0.45">
      <c r="A10" t="s">
        <v>54</v>
      </c>
      <c r="B10" s="3">
        <v>4</v>
      </c>
      <c r="C10" s="3">
        <v>0</v>
      </c>
      <c r="D10" s="3">
        <v>5</v>
      </c>
      <c r="E10" s="3">
        <v>0</v>
      </c>
    </row>
    <row r="11" spans="1:5" x14ac:dyDescent="0.45">
      <c r="A11" t="s">
        <v>88</v>
      </c>
      <c r="B11" s="3">
        <v>2</v>
      </c>
      <c r="C11" s="3">
        <v>0</v>
      </c>
      <c r="D11" s="3">
        <v>8</v>
      </c>
      <c r="E11" s="3">
        <v>0</v>
      </c>
    </row>
    <row r="12" spans="1:5" x14ac:dyDescent="0.45">
      <c r="A12" t="s">
        <v>89</v>
      </c>
      <c r="B12" s="3">
        <v>5</v>
      </c>
      <c r="C12" s="3">
        <v>1</v>
      </c>
      <c r="D12" s="3">
        <v>18</v>
      </c>
      <c r="E12" s="3">
        <v>0</v>
      </c>
    </row>
    <row r="13" spans="1:5" x14ac:dyDescent="0.45">
      <c r="A13" t="s">
        <v>59</v>
      </c>
      <c r="B13" s="3">
        <v>2</v>
      </c>
      <c r="C13" s="3">
        <v>1</v>
      </c>
      <c r="D13" s="3">
        <v>19</v>
      </c>
      <c r="E13" s="3">
        <v>1</v>
      </c>
    </row>
    <row r="14" spans="1:5" x14ac:dyDescent="0.45">
      <c r="A14" t="s">
        <v>90</v>
      </c>
      <c r="B14" s="3">
        <v>2</v>
      </c>
      <c r="C14" s="3">
        <v>2</v>
      </c>
      <c r="D14" s="3">
        <v>13</v>
      </c>
      <c r="E14" s="3">
        <v>0</v>
      </c>
    </row>
    <row r="15" spans="1:5" x14ac:dyDescent="0.45">
      <c r="A15" t="s">
        <v>66</v>
      </c>
      <c r="B15" s="3">
        <v>3</v>
      </c>
      <c r="C15" s="3">
        <v>1</v>
      </c>
      <c r="D15" s="3">
        <v>6</v>
      </c>
      <c r="E15" s="3">
        <v>1</v>
      </c>
    </row>
    <row r="16" spans="1:5" x14ac:dyDescent="0.45">
      <c r="A16" t="s">
        <v>68</v>
      </c>
      <c r="B16" s="3">
        <v>2</v>
      </c>
      <c r="C16" s="3">
        <v>0</v>
      </c>
      <c r="D16" s="3">
        <v>19</v>
      </c>
      <c r="E16" s="3">
        <v>0</v>
      </c>
    </row>
    <row r="17" spans="1:11" x14ac:dyDescent="0.45">
      <c r="A17" t="s">
        <v>91</v>
      </c>
      <c r="B17" s="3">
        <v>4</v>
      </c>
      <c r="C17" s="3">
        <v>2</v>
      </c>
      <c r="D17" s="3">
        <v>4</v>
      </c>
      <c r="E17" s="3">
        <v>0</v>
      </c>
    </row>
    <row r="18" spans="1:11" x14ac:dyDescent="0.45">
      <c r="A18" t="s">
        <v>75</v>
      </c>
      <c r="B18" s="3">
        <v>2</v>
      </c>
      <c r="C18" s="3">
        <v>1</v>
      </c>
      <c r="D18" s="3">
        <v>8</v>
      </c>
      <c r="E18" s="3">
        <v>0</v>
      </c>
    </row>
    <row r="19" spans="1:11" x14ac:dyDescent="0.45">
      <c r="A19" t="s">
        <v>92</v>
      </c>
      <c r="B19" s="3">
        <v>4</v>
      </c>
      <c r="C19" s="3">
        <v>1</v>
      </c>
      <c r="D19" s="3">
        <v>6</v>
      </c>
      <c r="E19" s="3">
        <v>0</v>
      </c>
    </row>
    <row r="20" spans="1:11" x14ac:dyDescent="0.45">
      <c r="A20" t="s">
        <v>93</v>
      </c>
      <c r="B20" s="3">
        <v>7</v>
      </c>
      <c r="C20" s="3">
        <v>0</v>
      </c>
      <c r="D20" s="3">
        <v>10</v>
      </c>
      <c r="E20" s="3">
        <v>0</v>
      </c>
    </row>
    <row r="21" spans="1:11" x14ac:dyDescent="0.45">
      <c r="A21" t="s">
        <v>78</v>
      </c>
      <c r="B21" s="3">
        <v>3</v>
      </c>
      <c r="C21" s="3">
        <v>0</v>
      </c>
      <c r="D21" s="3">
        <v>10</v>
      </c>
      <c r="E21" s="3">
        <v>0</v>
      </c>
    </row>
    <row r="22" spans="1:11" x14ac:dyDescent="0.45">
      <c r="A22" t="s">
        <v>94</v>
      </c>
      <c r="B22" s="3">
        <v>3</v>
      </c>
      <c r="C22" s="3">
        <v>0</v>
      </c>
      <c r="D22" s="3">
        <v>0</v>
      </c>
      <c r="E22" s="3">
        <v>0</v>
      </c>
    </row>
    <row r="23" spans="1:11" x14ac:dyDescent="0.45">
      <c r="A23" t="s">
        <v>95</v>
      </c>
      <c r="B23" s="3">
        <v>1</v>
      </c>
      <c r="C23" s="3">
        <v>0</v>
      </c>
      <c r="D23" s="3">
        <v>7</v>
      </c>
      <c r="E23" s="3">
        <v>1</v>
      </c>
    </row>
    <row r="24" spans="1:11" x14ac:dyDescent="0.45">
      <c r="A24" t="s">
        <v>96</v>
      </c>
      <c r="B24" s="3">
        <v>1</v>
      </c>
      <c r="C24" s="3">
        <v>1</v>
      </c>
      <c r="D24" s="3">
        <v>5</v>
      </c>
      <c r="E24" s="3">
        <v>0</v>
      </c>
    </row>
    <row r="25" spans="1:11" x14ac:dyDescent="0.45">
      <c r="A25" t="s">
        <v>16</v>
      </c>
      <c r="B25" s="3">
        <f>SUM(B2:B24)</f>
        <v>73</v>
      </c>
      <c r="C25" s="3">
        <f t="shared" ref="C25:E25" si="0">SUM(C2:C24)</f>
        <v>20</v>
      </c>
      <c r="D25" s="3">
        <f t="shared" si="0"/>
        <v>185</v>
      </c>
      <c r="E25" s="3">
        <f t="shared" si="0"/>
        <v>3</v>
      </c>
    </row>
    <row r="27" spans="1:11" ht="14.65" thickBot="1" x14ac:dyDescent="0.5"/>
    <row r="28" spans="1:11" x14ac:dyDescent="0.45">
      <c r="A28" s="26" t="s">
        <v>102</v>
      </c>
      <c r="B28" s="27"/>
      <c r="C28" s="27"/>
      <c r="D28" s="27"/>
      <c r="E28" s="28"/>
      <c r="G28" s="26" t="s">
        <v>22</v>
      </c>
      <c r="H28" s="27"/>
      <c r="I28" s="27"/>
      <c r="J28" s="27"/>
      <c r="K28" s="28"/>
    </row>
    <row r="29" spans="1:11" x14ac:dyDescent="0.45">
      <c r="A29" s="4" t="s">
        <v>103</v>
      </c>
      <c r="B29" t="s">
        <v>104</v>
      </c>
      <c r="C29" t="s">
        <v>105</v>
      </c>
      <c r="D29" t="s">
        <v>106</v>
      </c>
      <c r="E29" s="5" t="s">
        <v>107</v>
      </c>
      <c r="G29" s="11" t="s">
        <v>23</v>
      </c>
      <c r="H29" s="3" t="s">
        <v>24</v>
      </c>
      <c r="I29" s="3" t="s">
        <v>25</v>
      </c>
      <c r="J29" s="3" t="s">
        <v>26</v>
      </c>
      <c r="K29" s="12" t="s">
        <v>27</v>
      </c>
    </row>
    <row r="30" spans="1:11" x14ac:dyDescent="0.45">
      <c r="A30" s="6">
        <v>3039056</v>
      </c>
      <c r="B30" t="s">
        <v>108</v>
      </c>
      <c r="C30" t="s">
        <v>109</v>
      </c>
      <c r="D30" t="s">
        <v>28</v>
      </c>
      <c r="E30" s="7">
        <v>45691.638657407399</v>
      </c>
      <c r="G30" s="13">
        <v>45716</v>
      </c>
      <c r="H30" t="s">
        <v>28</v>
      </c>
      <c r="I30" t="s">
        <v>82</v>
      </c>
      <c r="J30" t="s">
        <v>110</v>
      </c>
      <c r="K30" s="5" t="s">
        <v>111</v>
      </c>
    </row>
    <row r="31" spans="1:11" x14ac:dyDescent="0.45">
      <c r="A31" s="6">
        <v>3039058</v>
      </c>
      <c r="B31" t="s">
        <v>108</v>
      </c>
      <c r="C31" t="s">
        <v>109</v>
      </c>
      <c r="D31" t="s">
        <v>28</v>
      </c>
      <c r="E31" s="7">
        <v>45691.639791666697</v>
      </c>
      <c r="G31" s="13">
        <v>45701</v>
      </c>
      <c r="H31" t="s">
        <v>36</v>
      </c>
      <c r="I31" t="s">
        <v>37</v>
      </c>
      <c r="J31" t="s">
        <v>110</v>
      </c>
      <c r="K31" s="5" t="s">
        <v>61</v>
      </c>
    </row>
    <row r="32" spans="1:11" x14ac:dyDescent="0.45">
      <c r="A32" s="6">
        <v>3038995</v>
      </c>
      <c r="B32" t="s">
        <v>37</v>
      </c>
      <c r="C32" t="s">
        <v>109</v>
      </c>
      <c r="D32" t="s">
        <v>36</v>
      </c>
      <c r="E32" s="7">
        <v>45691.393182870401</v>
      </c>
      <c r="G32" s="13">
        <v>45693</v>
      </c>
      <c r="H32" t="s">
        <v>112</v>
      </c>
      <c r="I32" t="s">
        <v>83</v>
      </c>
      <c r="J32" t="s">
        <v>113</v>
      </c>
      <c r="K32" s="5" t="s">
        <v>69</v>
      </c>
    </row>
    <row r="33" spans="1:11" x14ac:dyDescent="0.45">
      <c r="A33" s="6">
        <v>3039093</v>
      </c>
      <c r="B33" t="s">
        <v>37</v>
      </c>
      <c r="C33" t="s">
        <v>114</v>
      </c>
      <c r="D33" t="s">
        <v>36</v>
      </c>
      <c r="E33" s="7">
        <v>45691.721296296302</v>
      </c>
      <c r="G33" s="13">
        <v>45706</v>
      </c>
      <c r="H33" t="s">
        <v>45</v>
      </c>
      <c r="I33" t="s">
        <v>46</v>
      </c>
      <c r="J33" t="s">
        <v>110</v>
      </c>
      <c r="K33" s="5" t="s">
        <v>111</v>
      </c>
    </row>
    <row r="34" spans="1:11" x14ac:dyDescent="0.45">
      <c r="A34" s="6">
        <v>3039353</v>
      </c>
      <c r="B34" t="s">
        <v>37</v>
      </c>
      <c r="C34" t="s">
        <v>114</v>
      </c>
      <c r="D34" t="s">
        <v>115</v>
      </c>
      <c r="E34" s="7">
        <v>45695.465648148202</v>
      </c>
      <c r="G34" s="13">
        <v>45692</v>
      </c>
      <c r="H34" t="s">
        <v>116</v>
      </c>
      <c r="I34" t="s">
        <v>87</v>
      </c>
      <c r="J34" t="s">
        <v>110</v>
      </c>
      <c r="K34" s="5" t="s">
        <v>35</v>
      </c>
    </row>
    <row r="35" spans="1:11" x14ac:dyDescent="0.45">
      <c r="A35" s="6">
        <v>3039550</v>
      </c>
      <c r="B35" t="s">
        <v>37</v>
      </c>
      <c r="C35" t="s">
        <v>114</v>
      </c>
      <c r="D35" t="s">
        <v>36</v>
      </c>
      <c r="E35" s="7">
        <v>45700.511956018498</v>
      </c>
      <c r="G35" s="13">
        <v>45710</v>
      </c>
      <c r="H35" t="s">
        <v>116</v>
      </c>
      <c r="I35" t="s">
        <v>87</v>
      </c>
      <c r="J35" t="s">
        <v>110</v>
      </c>
      <c r="K35" s="5" t="s">
        <v>33</v>
      </c>
    </row>
    <row r="36" spans="1:11" x14ac:dyDescent="0.45">
      <c r="A36" s="6">
        <v>3039594</v>
      </c>
      <c r="B36" t="s">
        <v>37</v>
      </c>
      <c r="C36" t="s">
        <v>114</v>
      </c>
      <c r="D36" t="s">
        <v>36</v>
      </c>
      <c r="E36" s="7">
        <v>45701.362361111103</v>
      </c>
      <c r="G36" s="13">
        <v>45715</v>
      </c>
      <c r="H36" t="s">
        <v>116</v>
      </c>
      <c r="I36" t="s">
        <v>87</v>
      </c>
      <c r="J36" t="s">
        <v>110</v>
      </c>
      <c r="K36" s="5" t="s">
        <v>117</v>
      </c>
    </row>
    <row r="37" spans="1:11" x14ac:dyDescent="0.45">
      <c r="A37" s="6">
        <v>3039331</v>
      </c>
      <c r="B37" t="s">
        <v>85</v>
      </c>
      <c r="C37" t="s">
        <v>114</v>
      </c>
      <c r="D37" t="s">
        <v>55</v>
      </c>
      <c r="E37" s="7">
        <v>45695.323043981502</v>
      </c>
      <c r="G37" s="13">
        <v>45695</v>
      </c>
      <c r="H37" t="s">
        <v>55</v>
      </c>
      <c r="I37" t="s">
        <v>56</v>
      </c>
      <c r="J37" t="s">
        <v>113</v>
      </c>
      <c r="K37" s="5" t="s">
        <v>57</v>
      </c>
    </row>
    <row r="38" spans="1:11" x14ac:dyDescent="0.45">
      <c r="A38" s="6">
        <v>3039528</v>
      </c>
      <c r="B38" t="s">
        <v>85</v>
      </c>
      <c r="C38" t="s">
        <v>114</v>
      </c>
      <c r="D38" t="s">
        <v>55</v>
      </c>
      <c r="E38" s="7">
        <v>45700.3688541667</v>
      </c>
      <c r="G38" s="13">
        <v>45700</v>
      </c>
      <c r="H38" t="s">
        <v>55</v>
      </c>
      <c r="I38" t="s">
        <v>56</v>
      </c>
      <c r="J38" t="s">
        <v>110</v>
      </c>
      <c r="K38" s="5" t="s">
        <v>35</v>
      </c>
    </row>
    <row r="39" spans="1:11" x14ac:dyDescent="0.45">
      <c r="A39" s="6">
        <v>3039374</v>
      </c>
      <c r="B39" t="s">
        <v>86</v>
      </c>
      <c r="C39" t="s">
        <v>118</v>
      </c>
      <c r="D39" t="s">
        <v>119</v>
      </c>
      <c r="E39" s="7">
        <v>45695.623645833301</v>
      </c>
      <c r="G39" s="13">
        <v>45709</v>
      </c>
      <c r="H39" t="s">
        <v>55</v>
      </c>
      <c r="I39" t="s">
        <v>56</v>
      </c>
      <c r="J39" t="s">
        <v>73</v>
      </c>
      <c r="K39" s="5" t="s">
        <v>72</v>
      </c>
    </row>
    <row r="40" spans="1:11" x14ac:dyDescent="0.45">
      <c r="A40" s="6">
        <v>3039053</v>
      </c>
      <c r="B40" t="s">
        <v>87</v>
      </c>
      <c r="C40" t="s">
        <v>118</v>
      </c>
      <c r="D40" t="s">
        <v>120</v>
      </c>
      <c r="E40" s="7">
        <v>45691.629525463002</v>
      </c>
      <c r="G40" s="13">
        <v>45715</v>
      </c>
      <c r="H40" t="s">
        <v>121</v>
      </c>
      <c r="I40" t="s">
        <v>89</v>
      </c>
      <c r="J40" t="s">
        <v>122</v>
      </c>
      <c r="K40" s="5" t="s">
        <v>39</v>
      </c>
    </row>
    <row r="41" spans="1:11" x14ac:dyDescent="0.45">
      <c r="A41" s="6">
        <v>3039150</v>
      </c>
      <c r="B41" t="s">
        <v>87</v>
      </c>
      <c r="C41" t="s">
        <v>114</v>
      </c>
      <c r="D41" t="s">
        <v>120</v>
      </c>
      <c r="E41" s="7">
        <v>45692.616099537001</v>
      </c>
      <c r="G41" s="13">
        <v>45716</v>
      </c>
      <c r="H41" t="s">
        <v>123</v>
      </c>
      <c r="I41" t="s">
        <v>59</v>
      </c>
      <c r="J41" t="s">
        <v>42</v>
      </c>
      <c r="K41" s="5" t="s">
        <v>43</v>
      </c>
    </row>
    <row r="42" spans="1:11" x14ac:dyDescent="0.45">
      <c r="A42" s="6">
        <v>3039274</v>
      </c>
      <c r="B42" t="s">
        <v>54</v>
      </c>
      <c r="C42" t="s">
        <v>124</v>
      </c>
      <c r="D42" t="s">
        <v>125</v>
      </c>
      <c r="E42" s="7">
        <v>45694.423703703702</v>
      </c>
      <c r="G42" s="13">
        <v>45692</v>
      </c>
      <c r="H42" t="s">
        <v>126</v>
      </c>
      <c r="I42" t="s">
        <v>90</v>
      </c>
      <c r="J42" t="s">
        <v>127</v>
      </c>
      <c r="K42" s="5" t="s">
        <v>72</v>
      </c>
    </row>
    <row r="43" spans="1:11" x14ac:dyDescent="0.45">
      <c r="A43" s="6">
        <v>3039319</v>
      </c>
      <c r="B43" t="s">
        <v>54</v>
      </c>
      <c r="C43" t="s">
        <v>118</v>
      </c>
      <c r="D43" t="s">
        <v>125</v>
      </c>
      <c r="E43" s="7">
        <v>45694.707476851901</v>
      </c>
      <c r="G43" s="13">
        <v>45700</v>
      </c>
      <c r="H43" t="s">
        <v>126</v>
      </c>
      <c r="I43" t="s">
        <v>90</v>
      </c>
      <c r="J43" t="s">
        <v>128</v>
      </c>
      <c r="K43" s="5" t="s">
        <v>129</v>
      </c>
    </row>
    <row r="44" spans="1:11" x14ac:dyDescent="0.45">
      <c r="A44" s="6">
        <v>3039149</v>
      </c>
      <c r="B44" t="s">
        <v>88</v>
      </c>
      <c r="C44" t="s">
        <v>118</v>
      </c>
      <c r="D44" t="s">
        <v>130</v>
      </c>
      <c r="E44" s="7">
        <v>45692.615740740701</v>
      </c>
      <c r="G44" s="13">
        <v>45716</v>
      </c>
      <c r="H44" t="s">
        <v>131</v>
      </c>
      <c r="I44" t="s">
        <v>66</v>
      </c>
      <c r="J44" t="s">
        <v>34</v>
      </c>
      <c r="K44" s="5" t="s">
        <v>111</v>
      </c>
    </row>
    <row r="45" spans="1:11" x14ac:dyDescent="0.45">
      <c r="A45" s="6">
        <v>3038997</v>
      </c>
      <c r="B45" t="s">
        <v>89</v>
      </c>
      <c r="C45" t="s">
        <v>124</v>
      </c>
      <c r="D45" t="s">
        <v>121</v>
      </c>
      <c r="E45" s="7">
        <v>45691.398611111101</v>
      </c>
      <c r="G45" s="13">
        <v>45691</v>
      </c>
      <c r="H45" t="s">
        <v>132</v>
      </c>
      <c r="I45" t="s">
        <v>91</v>
      </c>
      <c r="J45" t="s">
        <v>42</v>
      </c>
      <c r="K45" s="5" t="s">
        <v>133</v>
      </c>
    </row>
    <row r="46" spans="1:11" x14ac:dyDescent="0.45">
      <c r="A46" s="6">
        <v>3039026</v>
      </c>
      <c r="B46" t="s">
        <v>89</v>
      </c>
      <c r="C46" t="s">
        <v>118</v>
      </c>
      <c r="D46" t="s">
        <v>121</v>
      </c>
      <c r="E46" s="7">
        <v>45691.532118055598</v>
      </c>
      <c r="G46" s="13">
        <v>45706</v>
      </c>
      <c r="H46" t="s">
        <v>134</v>
      </c>
      <c r="I46" t="s">
        <v>91</v>
      </c>
      <c r="J46" t="s">
        <v>135</v>
      </c>
      <c r="K46" s="5" t="s">
        <v>57</v>
      </c>
    </row>
    <row r="47" spans="1:11" x14ac:dyDescent="0.45">
      <c r="A47" s="6">
        <v>3039538</v>
      </c>
      <c r="B47" t="s">
        <v>59</v>
      </c>
      <c r="C47" t="s">
        <v>109</v>
      </c>
      <c r="D47" t="s">
        <v>123</v>
      </c>
      <c r="E47" s="7">
        <v>45700.445057870398</v>
      </c>
      <c r="G47" s="13">
        <v>45710</v>
      </c>
      <c r="H47" t="s">
        <v>74</v>
      </c>
      <c r="I47" t="s">
        <v>75</v>
      </c>
      <c r="J47" t="s">
        <v>110</v>
      </c>
      <c r="K47" s="5" t="s">
        <v>72</v>
      </c>
    </row>
    <row r="48" spans="1:11" x14ac:dyDescent="0.45">
      <c r="A48" s="6">
        <v>3039549</v>
      </c>
      <c r="B48" t="s">
        <v>59</v>
      </c>
      <c r="C48" t="s">
        <v>136</v>
      </c>
      <c r="D48" t="s">
        <v>123</v>
      </c>
      <c r="E48" s="7">
        <v>45700.5093402778</v>
      </c>
      <c r="G48" s="13">
        <v>45712</v>
      </c>
      <c r="H48" t="s">
        <v>137</v>
      </c>
      <c r="I48" t="s">
        <v>92</v>
      </c>
      <c r="J48" t="s">
        <v>73</v>
      </c>
      <c r="K48" s="5" t="s">
        <v>33</v>
      </c>
    </row>
    <row r="49" spans="1:11" ht="14.65" thickBot="1" x14ac:dyDescent="0.5">
      <c r="A49" s="6">
        <v>3039089</v>
      </c>
      <c r="B49" t="s">
        <v>138</v>
      </c>
      <c r="C49" t="s">
        <v>114</v>
      </c>
      <c r="D49" t="s">
        <v>139</v>
      </c>
      <c r="E49" s="7">
        <v>45691.699097222197</v>
      </c>
      <c r="G49" s="16">
        <v>45706</v>
      </c>
      <c r="H49" s="9" t="s">
        <v>140</v>
      </c>
      <c r="I49" s="9" t="s">
        <v>96</v>
      </c>
      <c r="J49" s="9" t="s">
        <v>110</v>
      </c>
      <c r="K49" s="17" t="s">
        <v>61</v>
      </c>
    </row>
    <row r="50" spans="1:11" x14ac:dyDescent="0.45">
      <c r="A50" s="6">
        <v>3039445</v>
      </c>
      <c r="B50" t="s">
        <v>138</v>
      </c>
      <c r="C50" t="s">
        <v>141</v>
      </c>
      <c r="D50" t="s">
        <v>131</v>
      </c>
      <c r="E50" s="7">
        <v>45698.613495370402</v>
      </c>
    </row>
    <row r="51" spans="1:11" x14ac:dyDescent="0.45">
      <c r="A51" s="6">
        <v>3039154</v>
      </c>
      <c r="B51" t="s">
        <v>91</v>
      </c>
      <c r="C51" t="s">
        <v>118</v>
      </c>
      <c r="D51" t="s">
        <v>132</v>
      </c>
      <c r="E51" s="7">
        <v>45692.635659722197</v>
      </c>
    </row>
    <row r="52" spans="1:11" x14ac:dyDescent="0.45">
      <c r="A52" s="6">
        <v>3039543</v>
      </c>
      <c r="B52" t="s">
        <v>75</v>
      </c>
      <c r="C52" t="s">
        <v>118</v>
      </c>
      <c r="D52" t="s">
        <v>74</v>
      </c>
      <c r="E52" s="7">
        <v>45700.480624999997</v>
      </c>
    </row>
    <row r="53" spans="1:11" x14ac:dyDescent="0.45">
      <c r="A53" s="6">
        <v>3039031</v>
      </c>
      <c r="B53" t="s">
        <v>92</v>
      </c>
      <c r="C53" t="s">
        <v>118</v>
      </c>
      <c r="D53" t="s">
        <v>137</v>
      </c>
      <c r="E53" s="7">
        <v>45691.562118055597</v>
      </c>
    </row>
    <row r="54" spans="1:11" x14ac:dyDescent="0.45">
      <c r="A54" s="6">
        <v>3039422</v>
      </c>
      <c r="B54" t="s">
        <v>92</v>
      </c>
      <c r="C54" t="s">
        <v>118</v>
      </c>
      <c r="D54" t="s">
        <v>137</v>
      </c>
      <c r="E54" s="7">
        <v>45698.4632291667</v>
      </c>
    </row>
    <row r="55" spans="1:11" x14ac:dyDescent="0.45">
      <c r="A55" s="6">
        <v>3039313</v>
      </c>
      <c r="B55" t="s">
        <v>93</v>
      </c>
      <c r="C55" t="s">
        <v>109</v>
      </c>
      <c r="D55" t="s">
        <v>58</v>
      </c>
      <c r="E55" s="7">
        <v>45694.679224537002</v>
      </c>
    </row>
    <row r="56" spans="1:11" x14ac:dyDescent="0.45">
      <c r="A56" s="6">
        <v>3039583</v>
      </c>
      <c r="B56" t="s">
        <v>94</v>
      </c>
      <c r="C56" t="s">
        <v>136</v>
      </c>
      <c r="D56" t="s">
        <v>142</v>
      </c>
      <c r="E56" s="7">
        <v>45700.697673611103</v>
      </c>
    </row>
    <row r="57" spans="1:11" x14ac:dyDescent="0.45">
      <c r="A57" s="6">
        <v>3039539</v>
      </c>
      <c r="B57" t="s">
        <v>95</v>
      </c>
      <c r="C57" t="s">
        <v>143</v>
      </c>
      <c r="D57" t="s">
        <v>144</v>
      </c>
      <c r="E57" s="7">
        <v>45700.4460300926</v>
      </c>
    </row>
    <row r="58" spans="1:11" ht="14.65" thickBot="1" x14ac:dyDescent="0.5">
      <c r="A58" s="8">
        <v>3039040</v>
      </c>
      <c r="B58" s="9" t="s">
        <v>96</v>
      </c>
      <c r="C58" s="9" t="s">
        <v>109</v>
      </c>
      <c r="D58" s="9" t="s">
        <v>140</v>
      </c>
      <c r="E58" s="10">
        <v>45691.586724537003</v>
      </c>
    </row>
  </sheetData>
  <sortState xmlns:xlrd2="http://schemas.microsoft.com/office/spreadsheetml/2017/richdata2" ref="A2:E24">
    <sortCondition ref="A2:A24"/>
  </sortState>
  <mergeCells count="2">
    <mergeCell ref="A28:E28"/>
    <mergeCell ref="G28:K2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4B317-5B6B-4B73-B545-906DE6E8071E}">
  <sheetPr codeName="Sheet6"/>
  <dimension ref="A1:E21"/>
  <sheetViews>
    <sheetView workbookViewId="0">
      <selection activeCell="E24" sqref="E24"/>
    </sheetView>
  </sheetViews>
  <sheetFormatPr defaultRowHeight="14.25" x14ac:dyDescent="0.45"/>
  <cols>
    <col min="1" max="1" width="9.73046875" bestFit="1" customWidth="1"/>
    <col min="2" max="2" width="9.59765625" bestFit="1" customWidth="1"/>
    <col min="3" max="3" width="9.86328125" bestFit="1" customWidth="1"/>
    <col min="5" max="5" width="12.73046875" bestFit="1" customWidth="1"/>
  </cols>
  <sheetData>
    <row r="1" spans="1:5" x14ac:dyDescent="0.45">
      <c r="A1" t="s">
        <v>23</v>
      </c>
      <c r="B1" t="s">
        <v>97</v>
      </c>
      <c r="C1" t="s">
        <v>98</v>
      </c>
      <c r="D1" t="s">
        <v>99</v>
      </c>
      <c r="E1" t="s">
        <v>145</v>
      </c>
    </row>
    <row r="2" spans="1:5" x14ac:dyDescent="0.45">
      <c r="A2" s="1">
        <v>46055</v>
      </c>
      <c r="B2">
        <v>11</v>
      </c>
      <c r="C2">
        <v>13</v>
      </c>
      <c r="D2" s="2">
        <f t="shared" ref="D2:D20" si="0">SUM(B2/C2)</f>
        <v>0.84615384615384615</v>
      </c>
      <c r="E2">
        <v>1</v>
      </c>
    </row>
    <row r="3" spans="1:5" x14ac:dyDescent="0.45">
      <c r="A3" s="1">
        <v>46056</v>
      </c>
      <c r="B3">
        <v>9</v>
      </c>
      <c r="C3">
        <v>13</v>
      </c>
      <c r="D3" s="2">
        <f t="shared" si="0"/>
        <v>0.69230769230769229</v>
      </c>
    </row>
    <row r="4" spans="1:5" x14ac:dyDescent="0.45">
      <c r="A4" s="1">
        <v>46057</v>
      </c>
      <c r="B4">
        <v>12</v>
      </c>
      <c r="C4">
        <v>13</v>
      </c>
      <c r="D4" s="2">
        <f t="shared" si="0"/>
        <v>0.92307692307692313</v>
      </c>
      <c r="E4">
        <v>1</v>
      </c>
    </row>
    <row r="5" spans="1:5" x14ac:dyDescent="0.45">
      <c r="A5" s="1">
        <v>46058</v>
      </c>
      <c r="B5">
        <v>13</v>
      </c>
      <c r="C5">
        <v>13</v>
      </c>
      <c r="D5" s="2">
        <f t="shared" si="0"/>
        <v>1</v>
      </c>
      <c r="E5">
        <v>1</v>
      </c>
    </row>
    <row r="6" spans="1:5" x14ac:dyDescent="0.45">
      <c r="A6" s="1">
        <v>46059</v>
      </c>
      <c r="B6">
        <v>9</v>
      </c>
      <c r="C6">
        <v>13</v>
      </c>
      <c r="D6" s="2">
        <f t="shared" si="0"/>
        <v>0.69230769230769229</v>
      </c>
    </row>
    <row r="7" spans="1:5" x14ac:dyDescent="0.45">
      <c r="A7" s="1">
        <v>46062</v>
      </c>
      <c r="B7">
        <v>9</v>
      </c>
      <c r="C7">
        <v>13</v>
      </c>
      <c r="D7" s="2">
        <f t="shared" si="0"/>
        <v>0.69230769230769229</v>
      </c>
    </row>
    <row r="8" spans="1:5" x14ac:dyDescent="0.45">
      <c r="A8" s="1">
        <v>46063</v>
      </c>
      <c r="B8">
        <v>8</v>
      </c>
      <c r="C8">
        <v>13</v>
      </c>
      <c r="D8" s="2">
        <f t="shared" si="0"/>
        <v>0.61538461538461542</v>
      </c>
    </row>
    <row r="9" spans="1:5" x14ac:dyDescent="0.45">
      <c r="A9" s="1">
        <v>46064</v>
      </c>
      <c r="B9">
        <v>11</v>
      </c>
      <c r="C9">
        <v>13</v>
      </c>
      <c r="D9" s="2">
        <f t="shared" si="0"/>
        <v>0.84615384615384615</v>
      </c>
      <c r="E9">
        <v>1</v>
      </c>
    </row>
    <row r="10" spans="1:5" x14ac:dyDescent="0.45">
      <c r="A10" s="1">
        <v>46065</v>
      </c>
      <c r="B10">
        <v>10</v>
      </c>
      <c r="C10">
        <v>13</v>
      </c>
      <c r="D10" s="2">
        <f t="shared" si="0"/>
        <v>0.76923076923076927</v>
      </c>
    </row>
    <row r="11" spans="1:5" x14ac:dyDescent="0.45">
      <c r="A11" s="1">
        <v>46066</v>
      </c>
      <c r="B11">
        <v>10</v>
      </c>
      <c r="C11">
        <v>13</v>
      </c>
      <c r="D11" s="2">
        <f t="shared" si="0"/>
        <v>0.76923076923076927</v>
      </c>
    </row>
    <row r="12" spans="1:5" x14ac:dyDescent="0.45">
      <c r="A12" s="1">
        <v>46070</v>
      </c>
      <c r="B12">
        <v>11</v>
      </c>
      <c r="C12">
        <v>13</v>
      </c>
      <c r="D12" s="2">
        <f t="shared" si="0"/>
        <v>0.84615384615384615</v>
      </c>
      <c r="E12">
        <v>1</v>
      </c>
    </row>
    <row r="13" spans="1:5" x14ac:dyDescent="0.45">
      <c r="A13" s="1">
        <v>46071</v>
      </c>
      <c r="B13">
        <v>9</v>
      </c>
      <c r="C13">
        <v>13</v>
      </c>
      <c r="D13" s="2">
        <f t="shared" si="0"/>
        <v>0.69230769230769229</v>
      </c>
    </row>
    <row r="14" spans="1:5" x14ac:dyDescent="0.45">
      <c r="A14" s="1">
        <v>46072</v>
      </c>
      <c r="B14">
        <v>12</v>
      </c>
      <c r="C14">
        <v>13</v>
      </c>
      <c r="D14" s="2">
        <f t="shared" si="0"/>
        <v>0.92307692307692313</v>
      </c>
      <c r="E14">
        <v>1</v>
      </c>
    </row>
    <row r="15" spans="1:5" x14ac:dyDescent="0.45">
      <c r="A15" s="1">
        <v>46073</v>
      </c>
      <c r="B15">
        <v>11</v>
      </c>
      <c r="C15">
        <v>13</v>
      </c>
      <c r="D15" s="2">
        <f t="shared" si="0"/>
        <v>0.84615384615384615</v>
      </c>
      <c r="E15">
        <v>1</v>
      </c>
    </row>
    <row r="16" spans="1:5" x14ac:dyDescent="0.45">
      <c r="A16" s="1">
        <v>46076</v>
      </c>
      <c r="B16">
        <v>11</v>
      </c>
      <c r="C16">
        <v>13</v>
      </c>
      <c r="D16" s="2">
        <f t="shared" si="0"/>
        <v>0.84615384615384615</v>
      </c>
      <c r="E16">
        <v>1</v>
      </c>
    </row>
    <row r="17" spans="1:5" x14ac:dyDescent="0.45">
      <c r="A17" s="1">
        <v>46077</v>
      </c>
      <c r="B17">
        <v>12</v>
      </c>
      <c r="C17">
        <v>13</v>
      </c>
      <c r="D17" s="2">
        <f t="shared" si="0"/>
        <v>0.92307692307692313</v>
      </c>
      <c r="E17">
        <v>1</v>
      </c>
    </row>
    <row r="18" spans="1:5" x14ac:dyDescent="0.45">
      <c r="A18" s="1">
        <v>46078</v>
      </c>
      <c r="B18">
        <v>12</v>
      </c>
      <c r="C18">
        <v>13</v>
      </c>
      <c r="D18" s="2">
        <f t="shared" si="0"/>
        <v>0.92307692307692313</v>
      </c>
      <c r="E18">
        <v>1</v>
      </c>
    </row>
    <row r="19" spans="1:5" x14ac:dyDescent="0.45">
      <c r="A19" s="1">
        <v>46079</v>
      </c>
      <c r="B19">
        <v>11</v>
      </c>
      <c r="C19">
        <v>13</v>
      </c>
      <c r="D19" s="2">
        <f t="shared" si="0"/>
        <v>0.84615384615384615</v>
      </c>
      <c r="E19">
        <v>1</v>
      </c>
    </row>
    <row r="20" spans="1:5" x14ac:dyDescent="0.45">
      <c r="A20" s="1">
        <v>46080</v>
      </c>
      <c r="B20">
        <v>11</v>
      </c>
      <c r="C20">
        <v>13</v>
      </c>
      <c r="D20" s="2">
        <f t="shared" si="0"/>
        <v>0.84615384615384615</v>
      </c>
      <c r="E20">
        <v>1</v>
      </c>
    </row>
    <row r="21" spans="1:5" x14ac:dyDescent="0.45">
      <c r="A21" t="s">
        <v>20</v>
      </c>
      <c r="B21">
        <f>AVERAGE(B2:B20)</f>
        <v>10.631578947368421</v>
      </c>
      <c r="C21">
        <f>AVERAGE(C2:C20)</f>
        <v>13</v>
      </c>
      <c r="D21" s="2">
        <f>(B21/C21)</f>
        <v>0.81781376518218629</v>
      </c>
      <c r="E21">
        <f>COUNT(E2:E20)</f>
        <v>12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ACAA5-1115-4707-A1E6-82EB2F55B9D1}">
  <sheetPr codeName="Sheet7"/>
  <dimension ref="A1:K104"/>
  <sheetViews>
    <sheetView workbookViewId="0">
      <selection activeCell="D22" sqref="D22"/>
    </sheetView>
  </sheetViews>
  <sheetFormatPr defaultRowHeight="14.25" x14ac:dyDescent="0.45"/>
  <cols>
    <col min="1" max="1" width="15.265625" bestFit="1" customWidth="1"/>
    <col min="2" max="2" width="14" bestFit="1" customWidth="1"/>
    <col min="3" max="3" width="20.1328125" bestFit="1" customWidth="1"/>
    <col min="4" max="4" width="20.73046875" bestFit="1" customWidth="1"/>
    <col min="5" max="5" width="14.86328125" bestFit="1" customWidth="1"/>
    <col min="6" max="7" width="9.73046875" bestFit="1" customWidth="1"/>
    <col min="8" max="8" width="19.86328125" bestFit="1" customWidth="1"/>
    <col min="9" max="9" width="10.73046875" bestFit="1" customWidth="1"/>
    <col min="10" max="10" width="18.73046875" bestFit="1" customWidth="1"/>
    <col min="11" max="11" width="21.86328125" bestFit="1" customWidth="1"/>
  </cols>
  <sheetData>
    <row r="1" spans="1:5" x14ac:dyDescent="0.45">
      <c r="A1" t="s">
        <v>25</v>
      </c>
      <c r="B1" s="3" t="s">
        <v>146</v>
      </c>
      <c r="C1" s="3" t="s">
        <v>81</v>
      </c>
      <c r="D1" s="3" t="s">
        <v>100</v>
      </c>
      <c r="E1" s="3" t="s">
        <v>101</v>
      </c>
    </row>
    <row r="2" spans="1:5" x14ac:dyDescent="0.45">
      <c r="A2" t="s">
        <v>82</v>
      </c>
      <c r="B2" s="3">
        <v>8</v>
      </c>
      <c r="C2" s="3">
        <v>1</v>
      </c>
      <c r="D2" s="3">
        <v>11</v>
      </c>
      <c r="E2" s="3">
        <v>0</v>
      </c>
    </row>
    <row r="3" spans="1:5" x14ac:dyDescent="0.45">
      <c r="A3" t="s">
        <v>37</v>
      </c>
      <c r="B3" s="3">
        <v>2</v>
      </c>
      <c r="C3" s="3">
        <v>1</v>
      </c>
      <c r="D3" s="3">
        <v>2</v>
      </c>
      <c r="E3" s="3">
        <v>1</v>
      </c>
    </row>
    <row r="4" spans="1:5" x14ac:dyDescent="0.45">
      <c r="A4" t="s">
        <v>83</v>
      </c>
      <c r="B4" s="3">
        <v>1</v>
      </c>
      <c r="C4" s="3">
        <v>1</v>
      </c>
      <c r="D4" s="3">
        <v>1</v>
      </c>
      <c r="E4" s="3">
        <v>1</v>
      </c>
    </row>
    <row r="5" spans="1:5" x14ac:dyDescent="0.45">
      <c r="A5" t="s">
        <v>84</v>
      </c>
      <c r="B5" s="3">
        <v>3</v>
      </c>
      <c r="C5" s="3">
        <v>0</v>
      </c>
      <c r="D5" s="3">
        <v>0</v>
      </c>
      <c r="E5" s="3">
        <v>0</v>
      </c>
    </row>
    <row r="6" spans="1:5" x14ac:dyDescent="0.45">
      <c r="A6" t="s">
        <v>46</v>
      </c>
      <c r="B6" s="3">
        <v>3</v>
      </c>
      <c r="C6" s="3">
        <v>0</v>
      </c>
      <c r="D6" s="3">
        <v>1</v>
      </c>
      <c r="E6" s="3">
        <v>0</v>
      </c>
    </row>
    <row r="7" spans="1:5" x14ac:dyDescent="0.45">
      <c r="A7" t="s">
        <v>85</v>
      </c>
      <c r="B7" s="3">
        <v>1</v>
      </c>
      <c r="C7" s="3">
        <v>1</v>
      </c>
      <c r="D7" s="3">
        <v>10</v>
      </c>
      <c r="E7" s="3">
        <v>1</v>
      </c>
    </row>
    <row r="8" spans="1:5" x14ac:dyDescent="0.45">
      <c r="A8" t="s">
        <v>86</v>
      </c>
      <c r="B8" s="3">
        <v>3</v>
      </c>
      <c r="C8" s="3">
        <v>1</v>
      </c>
      <c r="D8" s="3">
        <v>6</v>
      </c>
      <c r="E8" s="3">
        <v>0</v>
      </c>
    </row>
    <row r="9" spans="1:5" x14ac:dyDescent="0.45">
      <c r="A9" t="s">
        <v>87</v>
      </c>
      <c r="B9" s="3">
        <v>2</v>
      </c>
      <c r="C9" s="3">
        <v>1</v>
      </c>
      <c r="D9" s="3">
        <v>12</v>
      </c>
      <c r="E9" s="3">
        <v>0</v>
      </c>
    </row>
    <row r="10" spans="1:5" x14ac:dyDescent="0.45">
      <c r="A10" t="s">
        <v>54</v>
      </c>
      <c r="B10" s="3">
        <v>1</v>
      </c>
      <c r="C10" s="3">
        <v>0</v>
      </c>
      <c r="D10" s="3">
        <v>3</v>
      </c>
      <c r="E10" s="3">
        <v>0</v>
      </c>
    </row>
    <row r="11" spans="1:5" x14ac:dyDescent="0.45">
      <c r="A11" t="s">
        <v>88</v>
      </c>
      <c r="B11" s="3">
        <v>5</v>
      </c>
      <c r="C11" s="3">
        <v>0</v>
      </c>
      <c r="D11" s="3">
        <v>7</v>
      </c>
      <c r="E11" s="3">
        <v>0</v>
      </c>
    </row>
    <row r="12" spans="1:5" x14ac:dyDescent="0.45">
      <c r="A12" t="s">
        <v>89</v>
      </c>
      <c r="B12" s="3">
        <v>2</v>
      </c>
      <c r="C12" s="3">
        <v>0</v>
      </c>
      <c r="D12" s="3">
        <v>9</v>
      </c>
      <c r="E12" s="3">
        <v>0</v>
      </c>
    </row>
    <row r="13" spans="1:5" x14ac:dyDescent="0.45">
      <c r="A13" t="s">
        <v>59</v>
      </c>
      <c r="B13" s="3">
        <v>2</v>
      </c>
      <c r="C13" s="3">
        <v>2</v>
      </c>
      <c r="D13" s="3">
        <v>13</v>
      </c>
      <c r="E13" s="3">
        <v>1</v>
      </c>
    </row>
    <row r="14" spans="1:5" x14ac:dyDescent="0.45">
      <c r="A14" t="s">
        <v>90</v>
      </c>
      <c r="B14" s="3">
        <v>6</v>
      </c>
      <c r="C14" s="3">
        <v>2</v>
      </c>
      <c r="D14" s="3">
        <v>8</v>
      </c>
      <c r="E14" s="3">
        <v>1</v>
      </c>
    </row>
    <row r="15" spans="1:5" x14ac:dyDescent="0.45">
      <c r="A15" t="s">
        <v>66</v>
      </c>
      <c r="B15" s="3">
        <v>7</v>
      </c>
      <c r="C15" s="3">
        <v>1</v>
      </c>
      <c r="D15" s="3">
        <v>6</v>
      </c>
      <c r="E15" s="3">
        <v>0</v>
      </c>
    </row>
    <row r="16" spans="1:5" x14ac:dyDescent="0.45">
      <c r="A16" t="s">
        <v>68</v>
      </c>
      <c r="B16" s="3">
        <v>1</v>
      </c>
      <c r="C16" s="3">
        <v>1</v>
      </c>
      <c r="D16" s="3">
        <v>12</v>
      </c>
      <c r="E16" s="3">
        <v>1</v>
      </c>
    </row>
    <row r="17" spans="1:11" x14ac:dyDescent="0.45">
      <c r="A17" t="s">
        <v>91</v>
      </c>
      <c r="B17" s="3">
        <v>8</v>
      </c>
      <c r="C17" s="3">
        <v>0</v>
      </c>
      <c r="D17" s="3">
        <v>4</v>
      </c>
      <c r="E17" s="3">
        <v>0</v>
      </c>
    </row>
    <row r="18" spans="1:11" x14ac:dyDescent="0.45">
      <c r="A18" t="s">
        <v>75</v>
      </c>
      <c r="B18" s="3">
        <v>4</v>
      </c>
      <c r="C18" s="3">
        <v>0</v>
      </c>
      <c r="D18" s="3">
        <v>7</v>
      </c>
      <c r="E18" s="3">
        <v>0</v>
      </c>
    </row>
    <row r="19" spans="1:11" x14ac:dyDescent="0.45">
      <c r="A19" t="s">
        <v>92</v>
      </c>
      <c r="B19" s="3">
        <v>5</v>
      </c>
      <c r="C19" s="3">
        <v>0</v>
      </c>
      <c r="D19" s="3">
        <v>5</v>
      </c>
      <c r="E19" s="3">
        <v>0</v>
      </c>
    </row>
    <row r="20" spans="1:11" x14ac:dyDescent="0.45">
      <c r="A20" t="s">
        <v>93</v>
      </c>
      <c r="B20" s="3">
        <v>2</v>
      </c>
      <c r="C20" s="3">
        <v>0</v>
      </c>
      <c r="D20" s="3">
        <v>6</v>
      </c>
      <c r="E20" s="3">
        <v>0</v>
      </c>
    </row>
    <row r="21" spans="1:11" x14ac:dyDescent="0.45">
      <c r="A21" t="s">
        <v>78</v>
      </c>
      <c r="B21" s="3">
        <v>3</v>
      </c>
      <c r="C21" s="3">
        <v>0</v>
      </c>
      <c r="D21" s="3">
        <v>3</v>
      </c>
      <c r="E21" s="3">
        <v>0</v>
      </c>
    </row>
    <row r="22" spans="1:11" x14ac:dyDescent="0.45">
      <c r="A22" t="s">
        <v>94</v>
      </c>
      <c r="B22" s="3">
        <v>1</v>
      </c>
      <c r="C22" s="3">
        <v>0</v>
      </c>
      <c r="D22" s="3">
        <v>5</v>
      </c>
      <c r="E22" s="3">
        <v>0</v>
      </c>
    </row>
    <row r="23" spans="1:11" x14ac:dyDescent="0.45">
      <c r="A23" t="s">
        <v>95</v>
      </c>
      <c r="B23" s="3">
        <v>3</v>
      </c>
      <c r="C23" s="3">
        <v>0</v>
      </c>
      <c r="D23" s="3">
        <v>0</v>
      </c>
      <c r="E23" s="3">
        <v>0</v>
      </c>
    </row>
    <row r="24" spans="1:11" x14ac:dyDescent="0.45">
      <c r="A24" t="s">
        <v>96</v>
      </c>
      <c r="B24" s="3">
        <v>3</v>
      </c>
      <c r="C24" s="3">
        <v>0</v>
      </c>
      <c r="D24" s="3">
        <v>1</v>
      </c>
      <c r="E24" s="3">
        <v>0</v>
      </c>
    </row>
    <row r="25" spans="1:11" x14ac:dyDescent="0.45">
      <c r="A25" t="s">
        <v>16</v>
      </c>
      <c r="B25" s="3">
        <f>SUM(B2:B24)</f>
        <v>76</v>
      </c>
      <c r="C25" s="3">
        <f>SUM(C2:C24)</f>
        <v>12</v>
      </c>
      <c r="D25" s="3">
        <f>SUM(D2:D24)</f>
        <v>132</v>
      </c>
      <c r="E25" s="3">
        <f>SUM(E2:E24)</f>
        <v>6</v>
      </c>
    </row>
    <row r="26" spans="1:11" ht="14.65" thickBot="1" x14ac:dyDescent="0.5"/>
    <row r="27" spans="1:11" x14ac:dyDescent="0.45">
      <c r="A27" s="26" t="s">
        <v>102</v>
      </c>
      <c r="B27" s="27"/>
      <c r="C27" s="27"/>
      <c r="D27" s="27"/>
      <c r="E27" s="28"/>
      <c r="G27" s="26" t="s">
        <v>22</v>
      </c>
      <c r="H27" s="27"/>
      <c r="I27" s="27"/>
      <c r="J27" s="27"/>
      <c r="K27" s="28"/>
    </row>
    <row r="28" spans="1:11" x14ac:dyDescent="0.45">
      <c r="A28" s="4" t="s">
        <v>103</v>
      </c>
      <c r="B28" t="s">
        <v>104</v>
      </c>
      <c r="C28" t="s">
        <v>105</v>
      </c>
      <c r="D28" t="s">
        <v>106</v>
      </c>
      <c r="E28" s="5" t="s">
        <v>107</v>
      </c>
      <c r="G28" s="11" t="s">
        <v>23</v>
      </c>
      <c r="H28" s="3" t="s">
        <v>24</v>
      </c>
      <c r="I28" s="3" t="s">
        <v>25</v>
      </c>
      <c r="J28" s="3" t="s">
        <v>26</v>
      </c>
      <c r="K28" s="12" t="s">
        <v>27</v>
      </c>
    </row>
    <row r="29" spans="1:11" x14ac:dyDescent="0.45">
      <c r="A29" s="6">
        <v>3040549</v>
      </c>
      <c r="B29" t="s">
        <v>108</v>
      </c>
      <c r="C29" t="s">
        <v>147</v>
      </c>
      <c r="D29" t="s">
        <v>28</v>
      </c>
      <c r="E29" s="7">
        <v>45721.3882407407</v>
      </c>
      <c r="G29" s="13">
        <v>45746</v>
      </c>
      <c r="H29" t="s">
        <v>28</v>
      </c>
      <c r="I29" t="s">
        <v>82</v>
      </c>
      <c r="J29" t="s">
        <v>148</v>
      </c>
      <c r="K29" s="5" t="s">
        <v>35</v>
      </c>
    </row>
    <row r="30" spans="1:11" x14ac:dyDescent="0.45">
      <c r="A30" s="6">
        <v>3040564</v>
      </c>
      <c r="B30" t="s">
        <v>108</v>
      </c>
      <c r="C30" t="s">
        <v>147</v>
      </c>
      <c r="D30" t="s">
        <v>28</v>
      </c>
      <c r="E30" s="7">
        <v>45721.456041666701</v>
      </c>
      <c r="G30" s="13">
        <v>45741</v>
      </c>
      <c r="H30" t="s">
        <v>36</v>
      </c>
      <c r="I30" t="s">
        <v>37</v>
      </c>
      <c r="J30" t="s">
        <v>42</v>
      </c>
      <c r="K30" s="5" t="s">
        <v>149</v>
      </c>
    </row>
    <row r="31" spans="1:11" x14ac:dyDescent="0.45">
      <c r="A31" s="6">
        <v>3040568</v>
      </c>
      <c r="B31" t="s">
        <v>108</v>
      </c>
      <c r="C31" t="s">
        <v>147</v>
      </c>
      <c r="D31" t="s">
        <v>28</v>
      </c>
      <c r="E31" s="7">
        <v>45721.4764236111</v>
      </c>
      <c r="G31" s="13">
        <v>45735</v>
      </c>
      <c r="H31" t="s">
        <v>150</v>
      </c>
      <c r="I31" t="s">
        <v>83</v>
      </c>
      <c r="J31" t="s">
        <v>151</v>
      </c>
      <c r="K31" s="5" t="s">
        <v>149</v>
      </c>
    </row>
    <row r="32" spans="1:11" x14ac:dyDescent="0.45">
      <c r="A32" s="6">
        <v>3041115</v>
      </c>
      <c r="B32" t="s">
        <v>108</v>
      </c>
      <c r="C32" t="s">
        <v>109</v>
      </c>
      <c r="D32" t="s">
        <v>28</v>
      </c>
      <c r="E32" s="7">
        <v>45733.587094907401</v>
      </c>
      <c r="G32" s="13">
        <v>45743</v>
      </c>
      <c r="H32" t="s">
        <v>152</v>
      </c>
      <c r="I32" t="s">
        <v>87</v>
      </c>
      <c r="J32" t="s">
        <v>153</v>
      </c>
      <c r="K32" s="5" t="s">
        <v>33</v>
      </c>
    </row>
    <row r="33" spans="1:11" x14ac:dyDescent="0.45">
      <c r="A33" s="6">
        <v>3041401</v>
      </c>
      <c r="B33" t="s">
        <v>108</v>
      </c>
      <c r="C33" t="s">
        <v>118</v>
      </c>
      <c r="D33" t="s">
        <v>28</v>
      </c>
      <c r="E33" s="7">
        <v>45737.688321759299</v>
      </c>
      <c r="G33" s="13">
        <v>45744</v>
      </c>
      <c r="H33" t="s">
        <v>55</v>
      </c>
      <c r="I33" t="s">
        <v>56</v>
      </c>
      <c r="J33" t="s">
        <v>148</v>
      </c>
      <c r="K33" s="5" t="s">
        <v>149</v>
      </c>
    </row>
    <row r="34" spans="1:11" x14ac:dyDescent="0.45">
      <c r="A34" s="6">
        <v>3041410</v>
      </c>
      <c r="B34" t="s">
        <v>108</v>
      </c>
      <c r="C34" t="s">
        <v>118</v>
      </c>
      <c r="D34" t="s">
        <v>28</v>
      </c>
      <c r="E34" s="7">
        <v>45737.744027777801</v>
      </c>
      <c r="G34" s="13">
        <v>45741</v>
      </c>
      <c r="H34" t="s">
        <v>154</v>
      </c>
      <c r="I34" t="s">
        <v>59</v>
      </c>
      <c r="J34" t="s">
        <v>148</v>
      </c>
      <c r="K34" s="5" t="s">
        <v>149</v>
      </c>
    </row>
    <row r="35" spans="1:11" x14ac:dyDescent="0.45">
      <c r="A35" s="6">
        <v>3041411</v>
      </c>
      <c r="B35" t="s">
        <v>108</v>
      </c>
      <c r="C35" t="s">
        <v>109</v>
      </c>
      <c r="D35" t="s">
        <v>28</v>
      </c>
      <c r="E35" s="7">
        <v>45737.745057870401</v>
      </c>
      <c r="G35" s="13">
        <v>45747</v>
      </c>
      <c r="H35" t="s">
        <v>155</v>
      </c>
      <c r="I35" t="s">
        <v>59</v>
      </c>
      <c r="J35" t="s">
        <v>156</v>
      </c>
      <c r="K35" s="5" t="s">
        <v>133</v>
      </c>
    </row>
    <row r="36" spans="1:11" x14ac:dyDescent="0.45">
      <c r="A36" s="6">
        <v>3041804</v>
      </c>
      <c r="B36" t="s">
        <v>108</v>
      </c>
      <c r="C36" t="s">
        <v>118</v>
      </c>
      <c r="D36" t="s">
        <v>28</v>
      </c>
      <c r="E36" s="7">
        <v>45744.704641203702</v>
      </c>
      <c r="G36" s="13">
        <v>45730</v>
      </c>
      <c r="H36" t="s">
        <v>62</v>
      </c>
      <c r="I36" t="s">
        <v>63</v>
      </c>
      <c r="J36" t="s">
        <v>157</v>
      </c>
      <c r="K36" s="5" t="s">
        <v>35</v>
      </c>
    </row>
    <row r="37" spans="1:11" x14ac:dyDescent="0.45">
      <c r="A37" s="6">
        <v>3040594</v>
      </c>
      <c r="B37" t="s">
        <v>37</v>
      </c>
      <c r="C37" t="s">
        <v>118</v>
      </c>
      <c r="D37" t="s">
        <v>115</v>
      </c>
      <c r="E37" s="7">
        <v>45721.6038078704</v>
      </c>
      <c r="G37" s="13">
        <v>45734</v>
      </c>
      <c r="H37" t="s">
        <v>126</v>
      </c>
      <c r="I37" t="s">
        <v>90</v>
      </c>
      <c r="J37" t="s">
        <v>158</v>
      </c>
      <c r="K37" s="5" t="s">
        <v>48</v>
      </c>
    </row>
    <row r="38" spans="1:11" x14ac:dyDescent="0.45">
      <c r="A38" s="6">
        <v>3041125</v>
      </c>
      <c r="B38" t="s">
        <v>37</v>
      </c>
      <c r="C38" t="s">
        <v>109</v>
      </c>
      <c r="D38" t="s">
        <v>36</v>
      </c>
      <c r="E38" s="7">
        <v>45733.631574074097</v>
      </c>
      <c r="G38" s="13">
        <v>45736</v>
      </c>
      <c r="H38" t="s">
        <v>126</v>
      </c>
      <c r="I38" t="s">
        <v>90</v>
      </c>
      <c r="J38" t="s">
        <v>159</v>
      </c>
      <c r="K38" s="5" t="s">
        <v>149</v>
      </c>
    </row>
    <row r="39" spans="1:11" x14ac:dyDescent="0.45">
      <c r="A39" s="6">
        <v>3041139</v>
      </c>
      <c r="B39" t="s">
        <v>83</v>
      </c>
      <c r="C39" t="s">
        <v>118</v>
      </c>
      <c r="D39" t="s">
        <v>112</v>
      </c>
      <c r="E39" s="7">
        <v>45733.691018518497</v>
      </c>
      <c r="G39" s="13">
        <v>45743</v>
      </c>
      <c r="H39" t="s">
        <v>65</v>
      </c>
      <c r="I39" t="s">
        <v>66</v>
      </c>
      <c r="J39" t="s">
        <v>148</v>
      </c>
      <c r="K39" s="5" t="s">
        <v>117</v>
      </c>
    </row>
    <row r="40" spans="1:11" ht="14.65" thickBot="1" x14ac:dyDescent="0.5">
      <c r="A40" s="6">
        <v>3040592</v>
      </c>
      <c r="B40" t="s">
        <v>160</v>
      </c>
      <c r="C40" t="s">
        <v>118</v>
      </c>
      <c r="D40" t="s">
        <v>161</v>
      </c>
      <c r="E40" s="7">
        <v>45721.597615740699</v>
      </c>
      <c r="G40" s="16">
        <v>45734</v>
      </c>
      <c r="H40" s="9" t="s">
        <v>67</v>
      </c>
      <c r="I40" s="9" t="s">
        <v>68</v>
      </c>
      <c r="J40" s="9" t="s">
        <v>162</v>
      </c>
      <c r="K40" s="17" t="s">
        <v>149</v>
      </c>
    </row>
    <row r="41" spans="1:11" x14ac:dyDescent="0.45">
      <c r="A41" s="6">
        <v>3040910</v>
      </c>
      <c r="B41" t="s">
        <v>160</v>
      </c>
      <c r="C41" t="s">
        <v>118</v>
      </c>
      <c r="D41" t="s">
        <v>163</v>
      </c>
      <c r="E41" s="7">
        <v>45728.475509259297</v>
      </c>
    </row>
    <row r="42" spans="1:11" x14ac:dyDescent="0.45">
      <c r="A42" s="6">
        <v>3040929</v>
      </c>
      <c r="B42" t="s">
        <v>160</v>
      </c>
      <c r="C42" t="s">
        <v>114</v>
      </c>
      <c r="D42" t="s">
        <v>163</v>
      </c>
      <c r="E42" s="7">
        <v>45728.640555555598</v>
      </c>
    </row>
    <row r="43" spans="1:11" x14ac:dyDescent="0.45">
      <c r="A43" s="6">
        <v>3041126</v>
      </c>
      <c r="B43" t="s">
        <v>46</v>
      </c>
      <c r="C43" t="s">
        <v>118</v>
      </c>
      <c r="D43" t="s">
        <v>45</v>
      </c>
      <c r="E43" s="7">
        <v>45733.632986111101</v>
      </c>
    </row>
    <row r="44" spans="1:11" x14ac:dyDescent="0.45">
      <c r="A44" s="6">
        <v>3041127</v>
      </c>
      <c r="B44" t="s">
        <v>46</v>
      </c>
      <c r="C44" t="s">
        <v>118</v>
      </c>
      <c r="D44" t="s">
        <v>45</v>
      </c>
      <c r="E44" s="7">
        <v>45733.639976851897</v>
      </c>
    </row>
    <row r="45" spans="1:11" x14ac:dyDescent="0.45">
      <c r="A45" s="6">
        <v>3041757</v>
      </c>
      <c r="B45" t="s">
        <v>46</v>
      </c>
      <c r="C45" t="s">
        <v>118</v>
      </c>
      <c r="D45" t="s">
        <v>45</v>
      </c>
      <c r="E45" s="7">
        <v>45744.4536226852</v>
      </c>
    </row>
    <row r="46" spans="1:11" x14ac:dyDescent="0.45">
      <c r="A46" s="6">
        <v>3041306</v>
      </c>
      <c r="B46" t="s">
        <v>85</v>
      </c>
      <c r="C46" t="s">
        <v>118</v>
      </c>
      <c r="D46" t="s">
        <v>55</v>
      </c>
      <c r="E46" s="7">
        <v>45736.512268518498</v>
      </c>
    </row>
    <row r="47" spans="1:11" x14ac:dyDescent="0.45">
      <c r="A47" s="6">
        <v>3040896</v>
      </c>
      <c r="B47" t="s">
        <v>86</v>
      </c>
      <c r="C47" t="s">
        <v>147</v>
      </c>
      <c r="D47" t="s">
        <v>62</v>
      </c>
      <c r="E47" s="7">
        <v>45728.382962962998</v>
      </c>
    </row>
    <row r="48" spans="1:11" x14ac:dyDescent="0.45">
      <c r="A48" s="6">
        <v>3041078</v>
      </c>
      <c r="B48" t="s">
        <v>86</v>
      </c>
      <c r="C48" t="s">
        <v>118</v>
      </c>
      <c r="D48" t="s">
        <v>62</v>
      </c>
      <c r="E48" s="7">
        <v>45733.379965277803</v>
      </c>
    </row>
    <row r="49" spans="1:5" x14ac:dyDescent="0.45">
      <c r="A49" s="6">
        <v>3041286</v>
      </c>
      <c r="B49" t="s">
        <v>86</v>
      </c>
      <c r="C49" t="s">
        <v>118</v>
      </c>
      <c r="D49" t="s">
        <v>62</v>
      </c>
      <c r="E49" s="7">
        <v>45736.391550925902</v>
      </c>
    </row>
    <row r="50" spans="1:5" x14ac:dyDescent="0.45">
      <c r="A50" s="6">
        <v>3041201</v>
      </c>
      <c r="B50" t="s">
        <v>87</v>
      </c>
      <c r="C50" t="s">
        <v>147</v>
      </c>
      <c r="D50" t="s">
        <v>120</v>
      </c>
      <c r="E50" s="7">
        <v>45734.777129629598</v>
      </c>
    </row>
    <row r="51" spans="1:5" x14ac:dyDescent="0.45">
      <c r="A51" s="6">
        <v>3041792</v>
      </c>
      <c r="B51" t="s">
        <v>87</v>
      </c>
      <c r="C51" t="s">
        <v>118</v>
      </c>
      <c r="D51" t="s">
        <v>120</v>
      </c>
      <c r="E51" s="7">
        <v>45744.617696759298</v>
      </c>
    </row>
    <row r="52" spans="1:5" x14ac:dyDescent="0.45">
      <c r="A52" s="6">
        <v>3041140</v>
      </c>
      <c r="B52" t="s">
        <v>54</v>
      </c>
      <c r="C52" t="s">
        <v>118</v>
      </c>
      <c r="D52" t="s">
        <v>125</v>
      </c>
      <c r="E52" s="7">
        <v>45733.694166666697</v>
      </c>
    </row>
    <row r="53" spans="1:5" x14ac:dyDescent="0.45">
      <c r="A53" s="6">
        <v>3040638</v>
      </c>
      <c r="B53" t="s">
        <v>88</v>
      </c>
      <c r="C53" t="s">
        <v>147</v>
      </c>
      <c r="D53" t="s">
        <v>164</v>
      </c>
      <c r="E53" s="7">
        <v>45722.412245370397</v>
      </c>
    </row>
    <row r="54" spans="1:5" x14ac:dyDescent="0.45">
      <c r="A54" s="6">
        <v>3040639</v>
      </c>
      <c r="B54" t="s">
        <v>88</v>
      </c>
      <c r="C54" t="s">
        <v>118</v>
      </c>
      <c r="D54" t="s">
        <v>164</v>
      </c>
      <c r="E54" s="7">
        <v>45722.4135648148</v>
      </c>
    </row>
    <row r="55" spans="1:5" x14ac:dyDescent="0.45">
      <c r="A55" s="6">
        <v>3040776</v>
      </c>
      <c r="B55" t="s">
        <v>88</v>
      </c>
      <c r="C55" t="s">
        <v>118</v>
      </c>
      <c r="D55" t="s">
        <v>164</v>
      </c>
      <c r="E55" s="7">
        <v>45726.424594907403</v>
      </c>
    </row>
    <row r="56" spans="1:5" x14ac:dyDescent="0.45">
      <c r="A56" s="6">
        <v>3041366</v>
      </c>
      <c r="B56" t="s">
        <v>88</v>
      </c>
      <c r="C56" t="s">
        <v>109</v>
      </c>
      <c r="D56" t="s">
        <v>164</v>
      </c>
      <c r="E56" s="7">
        <v>45737.447071759299</v>
      </c>
    </row>
    <row r="57" spans="1:5" x14ac:dyDescent="0.45">
      <c r="A57" s="6">
        <v>3041831</v>
      </c>
      <c r="B57" t="s">
        <v>88</v>
      </c>
      <c r="C57" t="s">
        <v>118</v>
      </c>
      <c r="D57" t="s">
        <v>164</v>
      </c>
      <c r="E57" s="7">
        <v>45747.420509259297</v>
      </c>
    </row>
    <row r="58" spans="1:5" x14ac:dyDescent="0.45">
      <c r="A58" s="6">
        <v>3040702</v>
      </c>
      <c r="B58" t="s">
        <v>89</v>
      </c>
      <c r="C58" t="s">
        <v>147</v>
      </c>
      <c r="D58" t="s">
        <v>121</v>
      </c>
      <c r="E58" s="7">
        <v>45723.373368055603</v>
      </c>
    </row>
    <row r="59" spans="1:5" x14ac:dyDescent="0.45">
      <c r="A59" s="6">
        <v>3040972</v>
      </c>
      <c r="B59" t="s">
        <v>89</v>
      </c>
      <c r="C59" t="s">
        <v>118</v>
      </c>
      <c r="D59" t="s">
        <v>121</v>
      </c>
      <c r="E59" s="7">
        <v>45729.525613425903</v>
      </c>
    </row>
    <row r="60" spans="1:5" x14ac:dyDescent="0.45">
      <c r="A60" s="6">
        <v>3040783</v>
      </c>
      <c r="B60" t="s">
        <v>59</v>
      </c>
      <c r="C60" t="s">
        <v>118</v>
      </c>
      <c r="D60" t="s">
        <v>123</v>
      </c>
      <c r="E60" s="7">
        <v>45726.454143518502</v>
      </c>
    </row>
    <row r="61" spans="1:5" x14ac:dyDescent="0.45">
      <c r="A61" s="6">
        <v>3040785</v>
      </c>
      <c r="B61" t="s">
        <v>59</v>
      </c>
      <c r="C61" t="s">
        <v>109</v>
      </c>
      <c r="D61" t="s">
        <v>123</v>
      </c>
      <c r="E61" s="7">
        <v>45726.459976851896</v>
      </c>
    </row>
    <row r="62" spans="1:5" x14ac:dyDescent="0.45">
      <c r="A62" s="6">
        <v>3040451</v>
      </c>
      <c r="B62" t="s">
        <v>165</v>
      </c>
      <c r="C62" t="s">
        <v>147</v>
      </c>
      <c r="D62" t="s">
        <v>126</v>
      </c>
      <c r="E62" s="7">
        <v>45720.379849536999</v>
      </c>
    </row>
    <row r="63" spans="1:5" x14ac:dyDescent="0.45">
      <c r="A63" s="6">
        <v>3040944</v>
      </c>
      <c r="B63" t="s">
        <v>165</v>
      </c>
      <c r="C63" t="s">
        <v>147</v>
      </c>
      <c r="D63" t="s">
        <v>126</v>
      </c>
      <c r="E63" s="7">
        <v>45728.711828703701</v>
      </c>
    </row>
    <row r="64" spans="1:5" x14ac:dyDescent="0.45">
      <c r="A64" s="6">
        <v>3041476</v>
      </c>
      <c r="B64" t="s">
        <v>165</v>
      </c>
      <c r="C64" t="s">
        <v>114</v>
      </c>
      <c r="D64" t="s">
        <v>126</v>
      </c>
      <c r="E64" s="7">
        <v>45740.632337962998</v>
      </c>
    </row>
    <row r="65" spans="1:5" x14ac:dyDescent="0.45">
      <c r="A65" s="6">
        <v>3041477</v>
      </c>
      <c r="B65" t="s">
        <v>165</v>
      </c>
      <c r="C65" t="s">
        <v>118</v>
      </c>
      <c r="D65" t="s">
        <v>126</v>
      </c>
      <c r="E65" s="7">
        <v>45740.6340740741</v>
      </c>
    </row>
    <row r="66" spans="1:5" x14ac:dyDescent="0.45">
      <c r="A66" s="6">
        <v>3041480</v>
      </c>
      <c r="B66" t="s">
        <v>165</v>
      </c>
      <c r="C66" t="s">
        <v>118</v>
      </c>
      <c r="D66" t="s">
        <v>126</v>
      </c>
      <c r="E66" s="7">
        <v>45740.635405092602</v>
      </c>
    </row>
    <row r="67" spans="1:5" x14ac:dyDescent="0.45">
      <c r="A67" s="6">
        <v>3041481</v>
      </c>
      <c r="B67" t="s">
        <v>165</v>
      </c>
      <c r="C67" t="s">
        <v>118</v>
      </c>
      <c r="D67" t="s">
        <v>126</v>
      </c>
      <c r="E67" s="7">
        <v>45740.636145833298</v>
      </c>
    </row>
    <row r="68" spans="1:5" x14ac:dyDescent="0.45">
      <c r="A68" s="6">
        <v>3040651</v>
      </c>
      <c r="B68" t="s">
        <v>138</v>
      </c>
      <c r="C68" t="s">
        <v>118</v>
      </c>
      <c r="D68" t="s">
        <v>131</v>
      </c>
      <c r="E68" s="7">
        <v>45722.5099305556</v>
      </c>
    </row>
    <row r="69" spans="1:5" x14ac:dyDescent="0.45">
      <c r="A69" s="6">
        <v>3040652</v>
      </c>
      <c r="B69" t="s">
        <v>138</v>
      </c>
      <c r="C69" t="s">
        <v>118</v>
      </c>
      <c r="D69" t="s">
        <v>131</v>
      </c>
      <c r="E69" s="7">
        <v>45722.512268518498</v>
      </c>
    </row>
    <row r="70" spans="1:5" x14ac:dyDescent="0.45">
      <c r="A70" s="6">
        <v>3040681</v>
      </c>
      <c r="B70" t="s">
        <v>138</v>
      </c>
      <c r="C70" t="s">
        <v>147</v>
      </c>
      <c r="D70" t="s">
        <v>131</v>
      </c>
      <c r="E70" s="7">
        <v>45722.661354166703</v>
      </c>
    </row>
    <row r="71" spans="1:5" x14ac:dyDescent="0.45">
      <c r="A71" s="6">
        <v>3040824</v>
      </c>
      <c r="B71" t="s">
        <v>138</v>
      </c>
      <c r="C71" t="s">
        <v>147</v>
      </c>
      <c r="D71" t="s">
        <v>131</v>
      </c>
      <c r="E71" s="7">
        <v>45726.682905092603</v>
      </c>
    </row>
    <row r="72" spans="1:5" x14ac:dyDescent="0.45">
      <c r="A72" s="6">
        <v>3041104</v>
      </c>
      <c r="B72" t="s">
        <v>138</v>
      </c>
      <c r="C72" t="s">
        <v>118</v>
      </c>
      <c r="D72" t="s">
        <v>131</v>
      </c>
      <c r="E72" s="7">
        <v>45733.510613425897</v>
      </c>
    </row>
    <row r="73" spans="1:5" x14ac:dyDescent="0.45">
      <c r="A73" s="6">
        <v>3041108</v>
      </c>
      <c r="B73" t="s">
        <v>138</v>
      </c>
      <c r="C73" t="s">
        <v>147</v>
      </c>
      <c r="D73" t="s">
        <v>131</v>
      </c>
      <c r="E73" s="7">
        <v>45733.534166666701</v>
      </c>
    </row>
    <row r="74" spans="1:5" x14ac:dyDescent="0.45">
      <c r="A74" s="6">
        <v>3041110</v>
      </c>
      <c r="B74" t="s">
        <v>138</v>
      </c>
      <c r="C74" t="s">
        <v>147</v>
      </c>
      <c r="D74" t="s">
        <v>131</v>
      </c>
      <c r="E74" s="7">
        <v>45733.534907407397</v>
      </c>
    </row>
    <row r="75" spans="1:5" x14ac:dyDescent="0.45">
      <c r="A75" s="6">
        <v>3041489</v>
      </c>
      <c r="B75" t="s">
        <v>68</v>
      </c>
      <c r="C75" t="s">
        <v>118</v>
      </c>
      <c r="D75" t="s">
        <v>67</v>
      </c>
      <c r="E75" s="7">
        <v>45740.671932870398</v>
      </c>
    </row>
    <row r="76" spans="1:5" x14ac:dyDescent="0.45">
      <c r="A76" s="6">
        <v>3040471</v>
      </c>
      <c r="B76" t="s">
        <v>91</v>
      </c>
      <c r="C76" t="s">
        <v>118</v>
      </c>
      <c r="D76" t="s">
        <v>132</v>
      </c>
      <c r="E76" s="7">
        <v>45720.468969907401</v>
      </c>
    </row>
    <row r="77" spans="1:5" x14ac:dyDescent="0.45">
      <c r="A77" s="6">
        <v>3040473</v>
      </c>
      <c r="B77" t="s">
        <v>91</v>
      </c>
      <c r="C77" t="s">
        <v>118</v>
      </c>
      <c r="D77" t="s">
        <v>132</v>
      </c>
      <c r="E77" s="7">
        <v>45720.470173611102</v>
      </c>
    </row>
    <row r="78" spans="1:5" x14ac:dyDescent="0.45">
      <c r="A78" s="6">
        <v>3040488</v>
      </c>
      <c r="B78" t="s">
        <v>91</v>
      </c>
      <c r="C78" t="s">
        <v>147</v>
      </c>
      <c r="D78" t="s">
        <v>132</v>
      </c>
      <c r="E78" s="7">
        <v>45720.546342592599</v>
      </c>
    </row>
    <row r="79" spans="1:5" x14ac:dyDescent="0.45">
      <c r="A79" s="6">
        <v>3040562</v>
      </c>
      <c r="B79" t="s">
        <v>91</v>
      </c>
      <c r="C79" t="s">
        <v>109</v>
      </c>
      <c r="D79" t="s">
        <v>132</v>
      </c>
      <c r="E79" s="7">
        <v>45721.4441435185</v>
      </c>
    </row>
    <row r="80" spans="1:5" x14ac:dyDescent="0.45">
      <c r="A80" s="6">
        <v>3040563</v>
      </c>
      <c r="B80" t="s">
        <v>91</v>
      </c>
      <c r="C80" t="s">
        <v>109</v>
      </c>
      <c r="D80" t="s">
        <v>132</v>
      </c>
      <c r="E80" s="7">
        <v>45721.447615740697</v>
      </c>
    </row>
    <row r="81" spans="1:5" x14ac:dyDescent="0.45">
      <c r="A81" s="6">
        <v>3040936</v>
      </c>
      <c r="B81" t="s">
        <v>91</v>
      </c>
      <c r="C81" t="s">
        <v>147</v>
      </c>
      <c r="D81" t="s">
        <v>132</v>
      </c>
      <c r="E81" s="7">
        <v>45728.693321759303</v>
      </c>
    </row>
    <row r="82" spans="1:5" x14ac:dyDescent="0.45">
      <c r="A82" s="6">
        <v>3041099</v>
      </c>
      <c r="B82" t="s">
        <v>91</v>
      </c>
      <c r="C82" t="s">
        <v>147</v>
      </c>
      <c r="D82" t="s">
        <v>132</v>
      </c>
      <c r="E82" s="7">
        <v>45733.495069444398</v>
      </c>
    </row>
    <row r="83" spans="1:5" x14ac:dyDescent="0.45">
      <c r="A83" s="6">
        <v>3041188</v>
      </c>
      <c r="B83" t="s">
        <v>91</v>
      </c>
      <c r="C83" t="s">
        <v>118</v>
      </c>
      <c r="D83" t="s">
        <v>132</v>
      </c>
      <c r="E83" s="7">
        <v>45734.6332638889</v>
      </c>
    </row>
    <row r="84" spans="1:5" x14ac:dyDescent="0.45">
      <c r="A84" s="6">
        <v>3040580</v>
      </c>
      <c r="B84" t="s">
        <v>75</v>
      </c>
      <c r="C84" t="s">
        <v>147</v>
      </c>
      <c r="D84" t="s">
        <v>166</v>
      </c>
      <c r="E84" s="7">
        <v>45721.529895833301</v>
      </c>
    </row>
    <row r="85" spans="1:5" x14ac:dyDescent="0.45">
      <c r="A85" s="6">
        <v>3041625</v>
      </c>
      <c r="B85" t="s">
        <v>75</v>
      </c>
      <c r="C85" t="s">
        <v>118</v>
      </c>
      <c r="D85" t="s">
        <v>74</v>
      </c>
      <c r="E85" s="7">
        <v>45742.585405092599</v>
      </c>
    </row>
    <row r="86" spans="1:5" x14ac:dyDescent="0.45">
      <c r="A86" s="6">
        <v>3041814</v>
      </c>
      <c r="B86" t="s">
        <v>75</v>
      </c>
      <c r="C86" t="s">
        <v>118</v>
      </c>
      <c r="D86" t="s">
        <v>74</v>
      </c>
      <c r="E86" s="7">
        <v>45745.426817129599</v>
      </c>
    </row>
    <row r="87" spans="1:5" x14ac:dyDescent="0.45">
      <c r="A87" s="6">
        <v>3041879</v>
      </c>
      <c r="B87" t="s">
        <v>75</v>
      </c>
      <c r="C87" t="s">
        <v>118</v>
      </c>
      <c r="D87" t="s">
        <v>74</v>
      </c>
      <c r="E87" s="7">
        <v>45747.704525462999</v>
      </c>
    </row>
    <row r="88" spans="1:5" x14ac:dyDescent="0.45">
      <c r="A88" s="6">
        <v>3040505</v>
      </c>
      <c r="B88" t="s">
        <v>92</v>
      </c>
      <c r="C88" t="s">
        <v>147</v>
      </c>
      <c r="D88" t="s">
        <v>137</v>
      </c>
      <c r="E88" s="7">
        <v>45720.658506944397</v>
      </c>
    </row>
    <row r="89" spans="1:5" x14ac:dyDescent="0.45">
      <c r="A89" s="6">
        <v>3040506</v>
      </c>
      <c r="B89" t="s">
        <v>92</v>
      </c>
      <c r="C89" t="s">
        <v>118</v>
      </c>
      <c r="D89" t="s">
        <v>137</v>
      </c>
      <c r="E89" s="7">
        <v>45720.659270833297</v>
      </c>
    </row>
    <row r="90" spans="1:5" x14ac:dyDescent="0.45">
      <c r="A90" s="6">
        <v>3041239</v>
      </c>
      <c r="B90" t="s">
        <v>92</v>
      </c>
      <c r="C90" t="s">
        <v>118</v>
      </c>
      <c r="D90" t="s">
        <v>137</v>
      </c>
      <c r="E90" s="7">
        <v>45735.59</v>
      </c>
    </row>
    <row r="91" spans="1:5" x14ac:dyDescent="0.45">
      <c r="A91" s="6">
        <v>3041242</v>
      </c>
      <c r="B91" t="s">
        <v>92</v>
      </c>
      <c r="C91" t="s">
        <v>147</v>
      </c>
      <c r="D91" t="s">
        <v>137</v>
      </c>
      <c r="E91" s="7">
        <v>45735.592731481498</v>
      </c>
    </row>
    <row r="92" spans="1:5" x14ac:dyDescent="0.45">
      <c r="A92" s="6">
        <v>3041567</v>
      </c>
      <c r="B92" t="s">
        <v>92</v>
      </c>
      <c r="C92" t="s">
        <v>118</v>
      </c>
      <c r="D92" t="s">
        <v>137</v>
      </c>
      <c r="E92" s="7">
        <v>45741.633240740703</v>
      </c>
    </row>
    <row r="93" spans="1:5" x14ac:dyDescent="0.45">
      <c r="A93" s="6">
        <v>3041212</v>
      </c>
      <c r="B93" t="s">
        <v>93</v>
      </c>
      <c r="C93" t="s">
        <v>114</v>
      </c>
      <c r="D93" t="s">
        <v>58</v>
      </c>
      <c r="E93" s="7">
        <v>45735.4071527778</v>
      </c>
    </row>
    <row r="94" spans="1:5" x14ac:dyDescent="0.45">
      <c r="A94" s="6">
        <v>3041535</v>
      </c>
      <c r="B94" t="s">
        <v>93</v>
      </c>
      <c r="C94" t="s">
        <v>118</v>
      </c>
      <c r="D94" t="s">
        <v>58</v>
      </c>
      <c r="E94" s="7">
        <v>45741.474293981497</v>
      </c>
    </row>
    <row r="95" spans="1:5" x14ac:dyDescent="0.45">
      <c r="A95" s="6">
        <v>3041461</v>
      </c>
      <c r="B95" t="s">
        <v>78</v>
      </c>
      <c r="C95" t="s">
        <v>118</v>
      </c>
      <c r="D95" t="s">
        <v>77</v>
      </c>
      <c r="E95" s="7">
        <v>45740.513287037</v>
      </c>
    </row>
    <row r="96" spans="1:5" x14ac:dyDescent="0.45">
      <c r="A96" s="6">
        <v>3041662</v>
      </c>
      <c r="B96" t="s">
        <v>78</v>
      </c>
      <c r="C96" t="s">
        <v>118</v>
      </c>
      <c r="D96" t="s">
        <v>77</v>
      </c>
      <c r="E96" s="7">
        <v>45742.731828703698</v>
      </c>
    </row>
    <row r="97" spans="1:5" x14ac:dyDescent="0.45">
      <c r="A97" s="6">
        <v>3041700</v>
      </c>
      <c r="B97" t="s">
        <v>78</v>
      </c>
      <c r="C97" t="s">
        <v>118</v>
      </c>
      <c r="D97" t="s">
        <v>77</v>
      </c>
      <c r="E97" s="7">
        <v>45743.590127314797</v>
      </c>
    </row>
    <row r="98" spans="1:5" x14ac:dyDescent="0.45">
      <c r="A98" s="6">
        <v>3040726</v>
      </c>
      <c r="B98" t="s">
        <v>94</v>
      </c>
      <c r="C98" t="s">
        <v>118</v>
      </c>
      <c r="D98" t="s">
        <v>142</v>
      </c>
      <c r="E98" s="7">
        <v>45723.594837962999</v>
      </c>
    </row>
    <row r="99" spans="1:5" x14ac:dyDescent="0.45">
      <c r="A99" s="6">
        <v>3040478</v>
      </c>
      <c r="B99" t="s">
        <v>95</v>
      </c>
      <c r="C99" t="s">
        <v>109</v>
      </c>
      <c r="D99" t="s">
        <v>144</v>
      </c>
      <c r="E99" s="7">
        <v>45720.497812499998</v>
      </c>
    </row>
    <row r="100" spans="1:5" x14ac:dyDescent="0.45">
      <c r="A100" s="6">
        <v>3040479</v>
      </c>
      <c r="B100" t="s">
        <v>95</v>
      </c>
      <c r="C100" t="s">
        <v>109</v>
      </c>
      <c r="D100" t="s">
        <v>144</v>
      </c>
      <c r="E100" s="7">
        <v>45720.503530092603</v>
      </c>
    </row>
    <row r="101" spans="1:5" x14ac:dyDescent="0.45">
      <c r="A101" s="6">
        <v>3041302</v>
      </c>
      <c r="B101" t="s">
        <v>95</v>
      </c>
      <c r="C101" t="s">
        <v>118</v>
      </c>
      <c r="D101" t="s">
        <v>144</v>
      </c>
      <c r="E101" s="7">
        <v>45736.498773148101</v>
      </c>
    </row>
    <row r="102" spans="1:5" x14ac:dyDescent="0.45">
      <c r="A102" s="6">
        <v>3041155</v>
      </c>
      <c r="B102" t="s">
        <v>96</v>
      </c>
      <c r="C102" t="s">
        <v>118</v>
      </c>
      <c r="D102" t="s">
        <v>140</v>
      </c>
      <c r="E102" s="7">
        <v>45734.409004629597</v>
      </c>
    </row>
    <row r="103" spans="1:5" x14ac:dyDescent="0.45">
      <c r="A103" s="6">
        <v>3041397</v>
      </c>
      <c r="B103" t="s">
        <v>96</v>
      </c>
      <c r="C103" t="s">
        <v>118</v>
      </c>
      <c r="D103" t="s">
        <v>140</v>
      </c>
      <c r="E103" s="7">
        <v>45737.669374999998</v>
      </c>
    </row>
    <row r="104" spans="1:5" ht="14.65" thickBot="1" x14ac:dyDescent="0.5">
      <c r="A104" s="8">
        <v>3041398</v>
      </c>
      <c r="B104" s="9" t="s">
        <v>96</v>
      </c>
      <c r="C104" s="9" t="s">
        <v>118</v>
      </c>
      <c r="D104" s="9" t="s">
        <v>140</v>
      </c>
      <c r="E104" s="10">
        <v>45737.671215277798</v>
      </c>
    </row>
  </sheetData>
  <sortState xmlns:xlrd2="http://schemas.microsoft.com/office/spreadsheetml/2017/richdata2" ref="A2:C24">
    <sortCondition ref="A2:A24"/>
  </sortState>
  <mergeCells count="2">
    <mergeCell ref="A27:E27"/>
    <mergeCell ref="G27:K2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3B18-C68A-43E1-9F79-BF99E3FE7882}">
  <sheetPr codeName="Sheet8"/>
  <dimension ref="A1:E24"/>
  <sheetViews>
    <sheetView topLeftCell="A7" workbookViewId="0">
      <selection activeCell="C26" sqref="C26"/>
    </sheetView>
  </sheetViews>
  <sheetFormatPr defaultRowHeight="14.25" x14ac:dyDescent="0.45"/>
  <cols>
    <col min="1" max="1" width="9.73046875" bestFit="1" customWidth="1"/>
    <col min="2" max="2" width="9.59765625" bestFit="1" customWidth="1"/>
    <col min="3" max="3" width="9.86328125" bestFit="1" customWidth="1"/>
    <col min="5" max="5" width="12.73046875" bestFit="1" customWidth="1"/>
  </cols>
  <sheetData>
    <row r="1" spans="1:5" x14ac:dyDescent="0.45">
      <c r="A1" t="s">
        <v>23</v>
      </c>
      <c r="B1" t="s">
        <v>97</v>
      </c>
      <c r="C1" t="s">
        <v>167</v>
      </c>
      <c r="D1" t="s">
        <v>99</v>
      </c>
      <c r="E1" t="s">
        <v>145</v>
      </c>
    </row>
    <row r="2" spans="1:5" x14ac:dyDescent="0.45">
      <c r="A2" s="19">
        <v>46083</v>
      </c>
      <c r="B2">
        <v>11</v>
      </c>
      <c r="C2">
        <v>13</v>
      </c>
      <c r="D2" s="2">
        <f>SUM(B2/C2)</f>
        <v>0.84615384615384615</v>
      </c>
      <c r="E2">
        <v>1</v>
      </c>
    </row>
    <row r="3" spans="1:5" x14ac:dyDescent="0.45">
      <c r="A3" s="19">
        <v>46084</v>
      </c>
      <c r="B3">
        <v>12</v>
      </c>
      <c r="C3">
        <v>13</v>
      </c>
      <c r="D3" s="2">
        <f t="shared" ref="D3:D23" si="0">SUM(B3/C3)</f>
        <v>0.92307692307692313</v>
      </c>
      <c r="E3">
        <v>1</v>
      </c>
    </row>
    <row r="4" spans="1:5" x14ac:dyDescent="0.45">
      <c r="A4" s="19">
        <v>46085</v>
      </c>
      <c r="B4">
        <v>11</v>
      </c>
      <c r="C4">
        <v>13</v>
      </c>
      <c r="D4" s="2">
        <f t="shared" si="0"/>
        <v>0.84615384615384615</v>
      </c>
      <c r="E4">
        <v>1</v>
      </c>
    </row>
    <row r="5" spans="1:5" x14ac:dyDescent="0.45">
      <c r="A5" s="19">
        <v>46086</v>
      </c>
      <c r="B5">
        <v>12</v>
      </c>
      <c r="C5">
        <v>13</v>
      </c>
      <c r="D5" s="2">
        <f t="shared" si="0"/>
        <v>0.92307692307692313</v>
      </c>
      <c r="E5">
        <v>1</v>
      </c>
    </row>
    <row r="6" spans="1:5" x14ac:dyDescent="0.45">
      <c r="A6" s="19">
        <v>46087</v>
      </c>
      <c r="B6">
        <v>9</v>
      </c>
      <c r="C6">
        <v>13</v>
      </c>
      <c r="D6" s="2">
        <f t="shared" si="0"/>
        <v>0.69230769230769229</v>
      </c>
    </row>
    <row r="7" spans="1:5" x14ac:dyDescent="0.45">
      <c r="A7" s="19">
        <v>46090</v>
      </c>
      <c r="B7">
        <v>9</v>
      </c>
      <c r="C7">
        <v>13</v>
      </c>
      <c r="D7" s="2">
        <f t="shared" si="0"/>
        <v>0.69230769230769229</v>
      </c>
    </row>
    <row r="8" spans="1:5" x14ac:dyDescent="0.45">
      <c r="A8" s="19">
        <v>46091</v>
      </c>
      <c r="B8">
        <v>13</v>
      </c>
      <c r="C8">
        <v>13</v>
      </c>
      <c r="D8" s="2">
        <f t="shared" si="0"/>
        <v>1</v>
      </c>
      <c r="E8">
        <v>1</v>
      </c>
    </row>
    <row r="9" spans="1:5" x14ac:dyDescent="0.45">
      <c r="A9" s="19">
        <v>46092</v>
      </c>
      <c r="B9">
        <v>10</v>
      </c>
      <c r="C9">
        <v>13</v>
      </c>
      <c r="D9" s="2">
        <f t="shared" si="0"/>
        <v>0.76923076923076927</v>
      </c>
    </row>
    <row r="10" spans="1:5" x14ac:dyDescent="0.45">
      <c r="A10" s="19">
        <v>46093</v>
      </c>
      <c r="B10">
        <v>11</v>
      </c>
      <c r="C10">
        <v>13</v>
      </c>
      <c r="D10" s="2">
        <f t="shared" si="0"/>
        <v>0.84615384615384615</v>
      </c>
      <c r="E10">
        <v>1</v>
      </c>
    </row>
    <row r="11" spans="1:5" x14ac:dyDescent="0.45">
      <c r="A11" s="19">
        <v>46094</v>
      </c>
      <c r="B11">
        <v>12</v>
      </c>
      <c r="C11">
        <v>13</v>
      </c>
      <c r="D11" s="2">
        <f t="shared" si="0"/>
        <v>0.92307692307692313</v>
      </c>
      <c r="E11">
        <v>1</v>
      </c>
    </row>
    <row r="12" spans="1:5" x14ac:dyDescent="0.45">
      <c r="A12" s="19">
        <v>46097</v>
      </c>
      <c r="B12">
        <v>12</v>
      </c>
      <c r="C12">
        <v>13</v>
      </c>
      <c r="D12" s="2">
        <f t="shared" si="0"/>
        <v>0.92307692307692313</v>
      </c>
      <c r="E12">
        <v>1</v>
      </c>
    </row>
    <row r="13" spans="1:5" x14ac:dyDescent="0.45">
      <c r="A13" s="19">
        <v>46098</v>
      </c>
      <c r="B13">
        <v>11</v>
      </c>
      <c r="C13">
        <v>13</v>
      </c>
      <c r="D13" s="2">
        <f t="shared" si="0"/>
        <v>0.84615384615384615</v>
      </c>
      <c r="E13">
        <v>1</v>
      </c>
    </row>
    <row r="14" spans="1:5" x14ac:dyDescent="0.45">
      <c r="A14" s="19">
        <v>46099</v>
      </c>
      <c r="B14">
        <v>10</v>
      </c>
      <c r="C14">
        <v>13</v>
      </c>
      <c r="D14" s="2">
        <f t="shared" si="0"/>
        <v>0.76923076923076927</v>
      </c>
    </row>
    <row r="15" spans="1:5" x14ac:dyDescent="0.45">
      <c r="A15" s="19">
        <v>46100</v>
      </c>
      <c r="B15">
        <v>10</v>
      </c>
      <c r="C15">
        <v>13</v>
      </c>
      <c r="D15" s="2">
        <f t="shared" si="0"/>
        <v>0.76923076923076927</v>
      </c>
    </row>
    <row r="16" spans="1:5" x14ac:dyDescent="0.45">
      <c r="A16" s="19">
        <v>46101</v>
      </c>
      <c r="B16">
        <v>11</v>
      </c>
      <c r="C16">
        <v>13</v>
      </c>
      <c r="D16" s="2">
        <f t="shared" si="0"/>
        <v>0.84615384615384615</v>
      </c>
      <c r="E16">
        <v>1</v>
      </c>
    </row>
    <row r="17" spans="1:5" x14ac:dyDescent="0.45">
      <c r="A17" s="19">
        <v>46104</v>
      </c>
      <c r="B17">
        <v>9</v>
      </c>
      <c r="C17">
        <v>13</v>
      </c>
      <c r="D17" s="2">
        <f t="shared" si="0"/>
        <v>0.69230769230769229</v>
      </c>
    </row>
    <row r="18" spans="1:5" x14ac:dyDescent="0.45">
      <c r="A18" s="19">
        <v>46105</v>
      </c>
      <c r="B18">
        <v>11</v>
      </c>
      <c r="C18">
        <v>13</v>
      </c>
      <c r="D18" s="2">
        <f t="shared" si="0"/>
        <v>0.84615384615384615</v>
      </c>
      <c r="E18">
        <v>1</v>
      </c>
    </row>
    <row r="19" spans="1:5" x14ac:dyDescent="0.45">
      <c r="A19" s="19">
        <v>46106</v>
      </c>
      <c r="B19">
        <v>10</v>
      </c>
      <c r="C19">
        <v>13</v>
      </c>
      <c r="D19" s="2">
        <f t="shared" si="0"/>
        <v>0.76923076923076927</v>
      </c>
    </row>
    <row r="20" spans="1:5" x14ac:dyDescent="0.45">
      <c r="A20" s="19">
        <v>46107</v>
      </c>
      <c r="B20">
        <v>11</v>
      </c>
      <c r="C20">
        <v>13</v>
      </c>
      <c r="D20" s="2">
        <f t="shared" si="0"/>
        <v>0.84615384615384615</v>
      </c>
      <c r="E20">
        <v>1</v>
      </c>
    </row>
    <row r="21" spans="1:5" x14ac:dyDescent="0.45">
      <c r="A21" s="19">
        <v>46108</v>
      </c>
      <c r="B21">
        <v>12</v>
      </c>
      <c r="C21">
        <v>13</v>
      </c>
      <c r="D21" s="2">
        <f t="shared" si="0"/>
        <v>0.92307692307692313</v>
      </c>
      <c r="E21">
        <v>1</v>
      </c>
    </row>
    <row r="22" spans="1:5" x14ac:dyDescent="0.45">
      <c r="A22" s="19">
        <v>46111</v>
      </c>
      <c r="B22">
        <v>9</v>
      </c>
      <c r="C22">
        <v>11</v>
      </c>
      <c r="D22" s="2">
        <f t="shared" si="0"/>
        <v>0.81818181818181823</v>
      </c>
      <c r="E22">
        <v>1</v>
      </c>
    </row>
    <row r="23" spans="1:5" x14ac:dyDescent="0.45">
      <c r="A23" s="19">
        <v>46112</v>
      </c>
      <c r="B23">
        <v>11</v>
      </c>
      <c r="C23">
        <v>11</v>
      </c>
      <c r="D23" s="2">
        <f t="shared" si="0"/>
        <v>1</v>
      </c>
      <c r="E23">
        <v>1</v>
      </c>
    </row>
    <row r="24" spans="1:5" x14ac:dyDescent="0.45">
      <c r="A24" t="s">
        <v>20</v>
      </c>
      <c r="B24">
        <f>AVERAGE(B2:B23)</f>
        <v>10.772727272727273</v>
      </c>
      <c r="C24">
        <f>AVERAGE(C2:C23)</f>
        <v>12.818181818181818</v>
      </c>
      <c r="D24" s="2">
        <f>(B24/C24)</f>
        <v>0.84042553191489366</v>
      </c>
      <c r="E24">
        <f>COUNT(E2:E23)</f>
        <v>15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190F-6D79-48F3-9EF1-5C30A2B4AC89}">
  <sheetPr codeName="Sheet9"/>
  <dimension ref="A1:K87"/>
  <sheetViews>
    <sheetView workbookViewId="0">
      <selection activeCell="D23" sqref="D23"/>
    </sheetView>
  </sheetViews>
  <sheetFormatPr defaultRowHeight="14.25" x14ac:dyDescent="0.45"/>
  <cols>
    <col min="1" max="1" width="15.265625" bestFit="1" customWidth="1"/>
    <col min="2" max="2" width="14.59765625" bestFit="1" customWidth="1"/>
    <col min="3" max="3" width="20.1328125" bestFit="1" customWidth="1"/>
    <col min="4" max="4" width="20.73046875" bestFit="1" customWidth="1"/>
    <col min="5" max="5" width="14.86328125" bestFit="1" customWidth="1"/>
    <col min="7" max="7" width="9.73046875" bestFit="1" customWidth="1"/>
    <col min="8" max="8" width="19.86328125" bestFit="1" customWidth="1"/>
    <col min="9" max="9" width="10.73046875" bestFit="1" customWidth="1"/>
    <col min="10" max="10" width="13.1328125" bestFit="1" customWidth="1"/>
    <col min="11" max="11" width="21.86328125" bestFit="1" customWidth="1"/>
  </cols>
  <sheetData>
    <row r="1" spans="1:5" x14ac:dyDescent="0.45">
      <c r="A1" t="s">
        <v>25</v>
      </c>
      <c r="B1" s="3" t="s">
        <v>146</v>
      </c>
      <c r="C1" s="3" t="s">
        <v>81</v>
      </c>
      <c r="D1" s="3" t="s">
        <v>100</v>
      </c>
      <c r="E1" s="3" t="s">
        <v>101</v>
      </c>
    </row>
    <row r="2" spans="1:5" x14ac:dyDescent="0.45">
      <c r="A2" t="s">
        <v>82</v>
      </c>
      <c r="B2" s="3">
        <v>6</v>
      </c>
      <c r="C2" s="3">
        <v>0</v>
      </c>
      <c r="D2" s="3">
        <v>6</v>
      </c>
      <c r="E2" s="3">
        <v>0</v>
      </c>
    </row>
    <row r="3" spans="1:5" x14ac:dyDescent="0.45">
      <c r="A3" t="s">
        <v>37</v>
      </c>
      <c r="B3" s="3">
        <v>2</v>
      </c>
      <c r="C3" s="3">
        <v>1</v>
      </c>
      <c r="D3" s="3">
        <v>2</v>
      </c>
      <c r="E3" s="3">
        <v>0</v>
      </c>
    </row>
    <row r="4" spans="1:5" x14ac:dyDescent="0.45">
      <c r="A4" t="s">
        <v>83</v>
      </c>
      <c r="B4" s="3">
        <v>2</v>
      </c>
      <c r="C4" s="3">
        <v>1</v>
      </c>
      <c r="D4" s="3">
        <v>2</v>
      </c>
      <c r="E4" s="3">
        <v>0</v>
      </c>
    </row>
    <row r="5" spans="1:5" x14ac:dyDescent="0.45">
      <c r="A5" t="s">
        <v>84</v>
      </c>
      <c r="B5" s="3">
        <v>3</v>
      </c>
      <c r="C5" s="3">
        <v>0</v>
      </c>
      <c r="D5" s="3">
        <v>3</v>
      </c>
      <c r="E5" s="3">
        <v>0</v>
      </c>
    </row>
    <row r="6" spans="1:5" x14ac:dyDescent="0.45">
      <c r="A6" t="s">
        <v>46</v>
      </c>
      <c r="B6" s="3">
        <v>2</v>
      </c>
      <c r="C6" s="3">
        <v>0</v>
      </c>
      <c r="D6" s="3">
        <v>7</v>
      </c>
      <c r="E6" s="3">
        <v>0</v>
      </c>
    </row>
    <row r="7" spans="1:5" x14ac:dyDescent="0.45">
      <c r="A7" t="s">
        <v>85</v>
      </c>
      <c r="B7" s="3">
        <v>2</v>
      </c>
      <c r="C7" s="3">
        <v>1</v>
      </c>
      <c r="D7" s="3">
        <v>22</v>
      </c>
      <c r="E7" s="3">
        <v>0</v>
      </c>
    </row>
    <row r="8" spans="1:5" x14ac:dyDescent="0.45">
      <c r="A8" t="s">
        <v>86</v>
      </c>
      <c r="B8" s="3">
        <v>2</v>
      </c>
      <c r="C8" s="3">
        <v>1</v>
      </c>
      <c r="D8" s="3">
        <v>5</v>
      </c>
      <c r="E8" s="3">
        <v>0</v>
      </c>
    </row>
    <row r="9" spans="1:5" x14ac:dyDescent="0.45">
      <c r="A9" t="s">
        <v>87</v>
      </c>
      <c r="B9" s="3">
        <v>3</v>
      </c>
      <c r="C9" s="3">
        <v>0</v>
      </c>
      <c r="D9" s="3">
        <v>16</v>
      </c>
      <c r="E9" s="3">
        <v>0</v>
      </c>
    </row>
    <row r="10" spans="1:5" x14ac:dyDescent="0.45">
      <c r="A10" t="s">
        <v>54</v>
      </c>
      <c r="B10" s="3">
        <v>2</v>
      </c>
      <c r="C10" s="3">
        <v>1</v>
      </c>
      <c r="D10" s="3">
        <v>3</v>
      </c>
      <c r="E10" s="3">
        <v>0</v>
      </c>
    </row>
    <row r="11" spans="1:5" x14ac:dyDescent="0.45">
      <c r="A11" t="s">
        <v>88</v>
      </c>
      <c r="B11" s="3">
        <v>2</v>
      </c>
      <c r="C11" s="3">
        <v>0</v>
      </c>
      <c r="D11" s="3">
        <v>12</v>
      </c>
      <c r="E11" s="3">
        <v>0</v>
      </c>
    </row>
    <row r="12" spans="1:5" x14ac:dyDescent="0.45">
      <c r="A12" t="s">
        <v>89</v>
      </c>
      <c r="B12" s="3">
        <v>0</v>
      </c>
      <c r="C12" s="3">
        <v>1</v>
      </c>
      <c r="D12" s="3">
        <v>3</v>
      </c>
      <c r="E12" s="3">
        <v>0</v>
      </c>
    </row>
    <row r="13" spans="1:5" x14ac:dyDescent="0.45">
      <c r="A13" t="s">
        <v>59</v>
      </c>
      <c r="B13" s="3">
        <v>2</v>
      </c>
      <c r="C13" s="3">
        <v>1</v>
      </c>
      <c r="D13" s="3">
        <v>16</v>
      </c>
      <c r="E13" s="3">
        <v>0</v>
      </c>
    </row>
    <row r="14" spans="1:5" x14ac:dyDescent="0.45">
      <c r="A14" t="s">
        <v>90</v>
      </c>
      <c r="B14" s="3">
        <v>3</v>
      </c>
      <c r="C14" s="3">
        <v>0</v>
      </c>
      <c r="D14" s="3">
        <v>8</v>
      </c>
      <c r="E14" s="3">
        <v>0</v>
      </c>
    </row>
    <row r="15" spans="1:5" x14ac:dyDescent="0.45">
      <c r="A15" t="s">
        <v>66</v>
      </c>
      <c r="B15" s="3">
        <v>3</v>
      </c>
      <c r="C15" s="3">
        <v>0</v>
      </c>
      <c r="D15" s="3">
        <v>1</v>
      </c>
      <c r="E15" s="3">
        <v>0</v>
      </c>
    </row>
    <row r="16" spans="1:5" x14ac:dyDescent="0.45">
      <c r="A16" t="s">
        <v>68</v>
      </c>
      <c r="B16" s="3">
        <v>3</v>
      </c>
      <c r="C16" s="3">
        <v>0</v>
      </c>
      <c r="D16" s="3">
        <v>9</v>
      </c>
      <c r="E16" s="3">
        <v>0</v>
      </c>
    </row>
    <row r="17" spans="1:11" x14ac:dyDescent="0.45">
      <c r="A17" t="s">
        <v>91</v>
      </c>
      <c r="B17" s="3">
        <v>0</v>
      </c>
      <c r="C17" s="3">
        <v>1</v>
      </c>
      <c r="D17" s="3">
        <v>3</v>
      </c>
      <c r="E17" s="3">
        <v>1</v>
      </c>
    </row>
    <row r="18" spans="1:11" x14ac:dyDescent="0.45">
      <c r="A18" t="s">
        <v>75</v>
      </c>
      <c r="B18" s="3">
        <v>3</v>
      </c>
      <c r="C18" s="3">
        <v>1</v>
      </c>
      <c r="D18" s="3">
        <v>12</v>
      </c>
      <c r="E18" s="3">
        <v>0</v>
      </c>
    </row>
    <row r="19" spans="1:11" x14ac:dyDescent="0.45">
      <c r="A19" t="s">
        <v>92</v>
      </c>
      <c r="B19" s="3">
        <v>7</v>
      </c>
      <c r="C19" s="3">
        <v>1</v>
      </c>
      <c r="D19" s="3">
        <v>13</v>
      </c>
      <c r="E19" s="3">
        <v>0</v>
      </c>
    </row>
    <row r="20" spans="1:11" x14ac:dyDescent="0.45">
      <c r="A20" t="s">
        <v>93</v>
      </c>
      <c r="B20" s="3">
        <v>2</v>
      </c>
      <c r="C20" s="3">
        <v>0</v>
      </c>
      <c r="D20" s="3">
        <v>5</v>
      </c>
      <c r="E20" s="3">
        <v>0</v>
      </c>
    </row>
    <row r="21" spans="1:11" x14ac:dyDescent="0.45">
      <c r="A21" t="s">
        <v>78</v>
      </c>
      <c r="B21" s="3">
        <v>0</v>
      </c>
      <c r="C21" s="3">
        <v>0</v>
      </c>
      <c r="D21" s="3">
        <v>6</v>
      </c>
      <c r="E21" s="3">
        <v>0</v>
      </c>
    </row>
    <row r="22" spans="1:11" x14ac:dyDescent="0.45">
      <c r="A22" t="s">
        <v>94</v>
      </c>
      <c r="B22" s="3">
        <v>2</v>
      </c>
      <c r="C22" s="3">
        <v>0</v>
      </c>
      <c r="D22" s="3">
        <v>4</v>
      </c>
      <c r="E22" s="3">
        <v>0</v>
      </c>
    </row>
    <row r="23" spans="1:11" x14ac:dyDescent="0.45">
      <c r="A23" t="s">
        <v>95</v>
      </c>
      <c r="B23" s="3">
        <v>3</v>
      </c>
      <c r="C23" s="3">
        <v>0</v>
      </c>
      <c r="D23" s="3">
        <v>1</v>
      </c>
      <c r="E23" s="3">
        <v>0</v>
      </c>
    </row>
    <row r="24" spans="1:11" x14ac:dyDescent="0.45">
      <c r="A24" t="s">
        <v>96</v>
      </c>
      <c r="B24" s="3">
        <v>5</v>
      </c>
      <c r="C24" s="3">
        <v>1</v>
      </c>
      <c r="D24" s="3">
        <v>10</v>
      </c>
      <c r="E24" s="3">
        <v>0</v>
      </c>
    </row>
    <row r="25" spans="1:11" x14ac:dyDescent="0.45">
      <c r="A25" t="s">
        <v>16</v>
      </c>
      <c r="B25" s="3">
        <f>SUM(B2:B24)</f>
        <v>59</v>
      </c>
      <c r="C25" s="3">
        <f>SUM(C2:C24)</f>
        <v>11</v>
      </c>
      <c r="D25" s="3">
        <f t="shared" ref="D25:E25" si="0">SUM(D2:D24)</f>
        <v>169</v>
      </c>
      <c r="E25" s="3">
        <f t="shared" si="0"/>
        <v>1</v>
      </c>
    </row>
    <row r="26" spans="1:11" ht="14.65" thickBot="1" x14ac:dyDescent="0.5">
      <c r="A26" s="9"/>
      <c r="B26" s="9"/>
      <c r="C26" s="9"/>
      <c r="D26" s="9"/>
      <c r="E26" s="9"/>
    </row>
    <row r="27" spans="1:11" x14ac:dyDescent="0.45">
      <c r="A27" s="26" t="s">
        <v>102</v>
      </c>
      <c r="B27" s="27"/>
      <c r="C27" s="27"/>
      <c r="D27" s="27"/>
      <c r="E27" s="28"/>
      <c r="G27" s="26" t="s">
        <v>22</v>
      </c>
      <c r="H27" s="27"/>
      <c r="I27" s="27"/>
      <c r="J27" s="27"/>
      <c r="K27" s="28"/>
    </row>
    <row r="28" spans="1:11" x14ac:dyDescent="0.45">
      <c r="A28" s="4" t="s">
        <v>103</v>
      </c>
      <c r="B28" t="s">
        <v>104</v>
      </c>
      <c r="C28" t="s">
        <v>105</v>
      </c>
      <c r="D28" t="s">
        <v>106</v>
      </c>
      <c r="E28" s="5" t="s">
        <v>107</v>
      </c>
      <c r="G28" s="11" t="s">
        <v>23</v>
      </c>
      <c r="H28" s="3" t="s">
        <v>24</v>
      </c>
      <c r="I28" s="3" t="s">
        <v>25</v>
      </c>
      <c r="J28" s="3" t="s">
        <v>26</v>
      </c>
      <c r="K28" s="12" t="s">
        <v>27</v>
      </c>
    </row>
    <row r="29" spans="1:11" x14ac:dyDescent="0.45">
      <c r="A29" s="6">
        <v>3041991</v>
      </c>
      <c r="B29" t="s">
        <v>108</v>
      </c>
      <c r="C29" t="s">
        <v>147</v>
      </c>
      <c r="D29" t="s">
        <v>168</v>
      </c>
      <c r="E29" s="7">
        <v>45749.380405092597</v>
      </c>
      <c r="G29" s="13">
        <v>45771</v>
      </c>
      <c r="H29" t="s">
        <v>36</v>
      </c>
      <c r="I29" t="s">
        <v>37</v>
      </c>
      <c r="J29" t="s">
        <v>148</v>
      </c>
      <c r="K29" s="5" t="s">
        <v>133</v>
      </c>
    </row>
    <row r="30" spans="1:11" x14ac:dyDescent="0.45">
      <c r="A30" s="6">
        <v>3042006</v>
      </c>
      <c r="B30" t="s">
        <v>108</v>
      </c>
      <c r="C30" t="s">
        <v>118</v>
      </c>
      <c r="D30" t="s">
        <v>28</v>
      </c>
      <c r="E30" s="7">
        <v>45749.544363425899</v>
      </c>
      <c r="G30" s="13">
        <v>45768</v>
      </c>
      <c r="H30" t="s">
        <v>112</v>
      </c>
      <c r="I30" t="s">
        <v>83</v>
      </c>
      <c r="J30" t="s">
        <v>148</v>
      </c>
      <c r="K30" s="5" t="s">
        <v>61</v>
      </c>
    </row>
    <row r="31" spans="1:11" x14ac:dyDescent="0.45">
      <c r="A31" s="6">
        <v>3042007</v>
      </c>
      <c r="B31" t="s">
        <v>108</v>
      </c>
      <c r="C31" t="s">
        <v>109</v>
      </c>
      <c r="D31" t="s">
        <v>28</v>
      </c>
      <c r="E31" s="7">
        <v>45749.545173611099</v>
      </c>
      <c r="G31" s="13">
        <v>45775</v>
      </c>
      <c r="H31" t="s">
        <v>53</v>
      </c>
      <c r="I31" t="s">
        <v>54</v>
      </c>
      <c r="J31" t="s">
        <v>42</v>
      </c>
      <c r="K31" s="5" t="s">
        <v>48</v>
      </c>
    </row>
    <row r="32" spans="1:11" x14ac:dyDescent="0.45">
      <c r="A32" s="6">
        <v>3042133</v>
      </c>
      <c r="B32" t="s">
        <v>108</v>
      </c>
      <c r="C32" t="s">
        <v>147</v>
      </c>
      <c r="D32" t="s">
        <v>28</v>
      </c>
      <c r="E32" s="7">
        <v>45751.440856481502</v>
      </c>
      <c r="G32" s="13">
        <v>45764</v>
      </c>
      <c r="H32" t="s">
        <v>55</v>
      </c>
      <c r="I32" t="s">
        <v>56</v>
      </c>
      <c r="J32" t="s">
        <v>148</v>
      </c>
      <c r="K32" s="5" t="s">
        <v>43</v>
      </c>
    </row>
    <row r="33" spans="1:11" x14ac:dyDescent="0.45">
      <c r="A33" s="6">
        <v>3042825</v>
      </c>
      <c r="B33" t="s">
        <v>108</v>
      </c>
      <c r="C33" t="s">
        <v>109</v>
      </c>
      <c r="D33" t="s">
        <v>28</v>
      </c>
      <c r="E33" s="7">
        <v>45761.6869560185</v>
      </c>
      <c r="G33" s="13">
        <v>45769</v>
      </c>
      <c r="H33" t="s">
        <v>169</v>
      </c>
      <c r="I33" t="s">
        <v>89</v>
      </c>
      <c r="J33" t="s">
        <v>148</v>
      </c>
      <c r="K33" s="5" t="s">
        <v>33</v>
      </c>
    </row>
    <row r="34" spans="1:11" x14ac:dyDescent="0.45">
      <c r="A34" s="6">
        <v>3043176</v>
      </c>
      <c r="B34" t="s">
        <v>108</v>
      </c>
      <c r="C34" t="s">
        <v>109</v>
      </c>
      <c r="D34" t="s">
        <v>28</v>
      </c>
      <c r="E34" s="7">
        <v>45769.450196759302</v>
      </c>
      <c r="G34" s="13">
        <v>45748</v>
      </c>
      <c r="H34" t="s">
        <v>123</v>
      </c>
      <c r="I34" t="s">
        <v>59</v>
      </c>
      <c r="J34" t="s">
        <v>156</v>
      </c>
      <c r="K34" s="5" t="s">
        <v>70</v>
      </c>
    </row>
    <row r="35" spans="1:11" x14ac:dyDescent="0.45">
      <c r="A35" s="6">
        <v>3042831</v>
      </c>
      <c r="B35" t="s">
        <v>37</v>
      </c>
      <c r="C35" t="s">
        <v>114</v>
      </c>
      <c r="D35" t="s">
        <v>36</v>
      </c>
      <c r="E35" s="7">
        <v>45761.706898148201</v>
      </c>
      <c r="G35" s="13">
        <v>45748</v>
      </c>
      <c r="H35" t="s">
        <v>119</v>
      </c>
      <c r="I35" t="s">
        <v>63</v>
      </c>
      <c r="J35" t="s">
        <v>42</v>
      </c>
      <c r="K35" s="5" t="s">
        <v>35</v>
      </c>
    </row>
    <row r="36" spans="1:11" x14ac:dyDescent="0.45">
      <c r="A36" s="6">
        <v>3043059</v>
      </c>
      <c r="B36" t="s">
        <v>37</v>
      </c>
      <c r="C36" t="s">
        <v>118</v>
      </c>
      <c r="D36" t="s">
        <v>36</v>
      </c>
      <c r="E36" s="7">
        <v>45765.677465277797</v>
      </c>
      <c r="G36" s="13">
        <v>45757</v>
      </c>
      <c r="H36" t="s">
        <v>134</v>
      </c>
      <c r="I36" t="s">
        <v>91</v>
      </c>
      <c r="J36" t="s">
        <v>148</v>
      </c>
      <c r="K36" s="5" t="s">
        <v>170</v>
      </c>
    </row>
    <row r="37" spans="1:11" x14ac:dyDescent="0.45">
      <c r="A37" s="6">
        <v>3043037</v>
      </c>
      <c r="B37" t="s">
        <v>83</v>
      </c>
      <c r="C37" t="s">
        <v>114</v>
      </c>
      <c r="D37" t="s">
        <v>112</v>
      </c>
      <c r="E37" s="7">
        <v>45765.552418981497</v>
      </c>
      <c r="G37" s="13">
        <v>45749</v>
      </c>
      <c r="H37" t="s">
        <v>166</v>
      </c>
      <c r="I37" t="s">
        <v>75</v>
      </c>
      <c r="J37" t="s">
        <v>148</v>
      </c>
      <c r="K37" s="5" t="s">
        <v>70</v>
      </c>
    </row>
    <row r="38" spans="1:11" x14ac:dyDescent="0.45">
      <c r="A38" s="6">
        <v>3043448</v>
      </c>
      <c r="B38" t="s">
        <v>83</v>
      </c>
      <c r="C38" t="s">
        <v>109</v>
      </c>
      <c r="D38" t="s">
        <v>112</v>
      </c>
      <c r="E38" s="7">
        <v>45775.710474537002</v>
      </c>
      <c r="G38" s="13">
        <v>45757</v>
      </c>
      <c r="H38" t="s">
        <v>137</v>
      </c>
      <c r="I38" t="s">
        <v>92</v>
      </c>
      <c r="J38" t="s">
        <v>171</v>
      </c>
      <c r="K38" s="5" t="s">
        <v>61</v>
      </c>
    </row>
    <row r="39" spans="1:11" ht="14.65" thickBot="1" x14ac:dyDescent="0.5">
      <c r="A39" s="6">
        <v>3042425</v>
      </c>
      <c r="B39" t="s">
        <v>160</v>
      </c>
      <c r="C39" t="s">
        <v>147</v>
      </c>
      <c r="D39" t="s">
        <v>163</v>
      </c>
      <c r="E39" s="7">
        <v>45755.712581018503</v>
      </c>
      <c r="G39" s="16">
        <v>45764</v>
      </c>
      <c r="H39" s="9" t="s">
        <v>140</v>
      </c>
      <c r="I39" s="9" t="s">
        <v>96</v>
      </c>
      <c r="J39" s="9" t="s">
        <v>148</v>
      </c>
      <c r="K39" s="17" t="s">
        <v>69</v>
      </c>
    </row>
    <row r="40" spans="1:11" x14ac:dyDescent="0.45">
      <c r="A40" s="6">
        <v>3043335</v>
      </c>
      <c r="B40" t="s">
        <v>160</v>
      </c>
      <c r="C40" t="s">
        <v>118</v>
      </c>
      <c r="D40" t="s">
        <v>163</v>
      </c>
      <c r="E40" s="7">
        <v>45771.706053240698</v>
      </c>
    </row>
    <row r="41" spans="1:11" x14ac:dyDescent="0.45">
      <c r="A41" s="6">
        <v>3043489</v>
      </c>
      <c r="B41" t="s">
        <v>160</v>
      </c>
      <c r="C41" t="s">
        <v>114</v>
      </c>
      <c r="D41" t="s">
        <v>163</v>
      </c>
      <c r="E41" s="7">
        <v>45776.560219907398</v>
      </c>
    </row>
    <row r="42" spans="1:11" x14ac:dyDescent="0.45">
      <c r="A42" s="6">
        <v>3041998</v>
      </c>
      <c r="B42" t="s">
        <v>46</v>
      </c>
      <c r="C42" t="s">
        <v>114</v>
      </c>
      <c r="D42" t="s">
        <v>45</v>
      </c>
      <c r="E42" s="7">
        <v>45749.456365740698</v>
      </c>
    </row>
    <row r="43" spans="1:11" x14ac:dyDescent="0.45">
      <c r="A43" s="6">
        <v>3042470</v>
      </c>
      <c r="B43" t="s">
        <v>46</v>
      </c>
      <c r="C43" t="s">
        <v>114</v>
      </c>
      <c r="D43" t="s">
        <v>45</v>
      </c>
      <c r="E43" s="7">
        <v>45756.434629629599</v>
      </c>
    </row>
    <row r="44" spans="1:11" x14ac:dyDescent="0.45">
      <c r="A44" s="6">
        <v>3042867</v>
      </c>
      <c r="B44" t="s">
        <v>85</v>
      </c>
      <c r="C44" t="s">
        <v>114</v>
      </c>
      <c r="D44" t="s">
        <v>55</v>
      </c>
      <c r="E44" s="7">
        <v>45762.577881944402</v>
      </c>
    </row>
    <row r="45" spans="1:11" x14ac:dyDescent="0.45">
      <c r="A45" s="6">
        <v>3043495</v>
      </c>
      <c r="B45" t="s">
        <v>85</v>
      </c>
      <c r="C45" t="s">
        <v>118</v>
      </c>
      <c r="D45" t="s">
        <v>55</v>
      </c>
      <c r="E45" s="7">
        <v>45776.5937962963</v>
      </c>
    </row>
    <row r="46" spans="1:11" x14ac:dyDescent="0.45">
      <c r="A46" s="6">
        <v>3042281</v>
      </c>
      <c r="B46" t="s">
        <v>86</v>
      </c>
      <c r="C46" t="s">
        <v>114</v>
      </c>
      <c r="D46" t="s">
        <v>119</v>
      </c>
      <c r="E46" s="7">
        <v>45754.497847222199</v>
      </c>
    </row>
    <row r="47" spans="1:11" x14ac:dyDescent="0.45">
      <c r="A47" s="6">
        <v>3042788</v>
      </c>
      <c r="B47" t="s">
        <v>86</v>
      </c>
      <c r="C47" t="s">
        <v>114</v>
      </c>
      <c r="D47" t="s">
        <v>62</v>
      </c>
      <c r="E47" s="7">
        <v>45761.3741898148</v>
      </c>
    </row>
    <row r="48" spans="1:11" x14ac:dyDescent="0.45">
      <c r="A48" s="6">
        <v>3042781</v>
      </c>
      <c r="B48" t="s">
        <v>87</v>
      </c>
      <c r="C48" t="s">
        <v>114</v>
      </c>
      <c r="D48" t="s">
        <v>120</v>
      </c>
      <c r="E48" s="7">
        <v>45759.463171296302</v>
      </c>
    </row>
    <row r="49" spans="1:5" x14ac:dyDescent="0.45">
      <c r="A49" s="6">
        <v>3042784</v>
      </c>
      <c r="B49" t="s">
        <v>87</v>
      </c>
      <c r="C49" t="s">
        <v>114</v>
      </c>
      <c r="D49" t="s">
        <v>120</v>
      </c>
      <c r="E49" s="7">
        <v>45759.565069444398</v>
      </c>
    </row>
    <row r="50" spans="1:5" x14ac:dyDescent="0.45">
      <c r="A50" s="6">
        <v>3043087</v>
      </c>
      <c r="B50" t="s">
        <v>87</v>
      </c>
      <c r="C50" t="s">
        <v>118</v>
      </c>
      <c r="D50" t="s">
        <v>120</v>
      </c>
      <c r="E50" s="7">
        <v>45768.418726851902</v>
      </c>
    </row>
    <row r="51" spans="1:5" x14ac:dyDescent="0.45">
      <c r="A51" s="6">
        <v>3043034</v>
      </c>
      <c r="B51" t="s">
        <v>54</v>
      </c>
      <c r="C51" t="s">
        <v>109</v>
      </c>
      <c r="D51" t="s">
        <v>125</v>
      </c>
      <c r="E51" s="7">
        <v>45765.549444444398</v>
      </c>
    </row>
    <row r="52" spans="1:5" x14ac:dyDescent="0.45">
      <c r="A52" s="6">
        <v>3043035</v>
      </c>
      <c r="B52" t="s">
        <v>54</v>
      </c>
      <c r="C52" t="s">
        <v>109</v>
      </c>
      <c r="D52" t="s">
        <v>125</v>
      </c>
      <c r="E52" s="7">
        <v>45765.552152777796</v>
      </c>
    </row>
    <row r="53" spans="1:5" x14ac:dyDescent="0.45">
      <c r="A53" s="6">
        <v>3041902</v>
      </c>
      <c r="B53" t="s">
        <v>88</v>
      </c>
      <c r="C53" t="s">
        <v>114</v>
      </c>
      <c r="D53" t="s">
        <v>164</v>
      </c>
      <c r="E53" s="7">
        <v>45748.430370370399</v>
      </c>
    </row>
    <row r="54" spans="1:5" x14ac:dyDescent="0.45">
      <c r="A54" s="6">
        <v>3042789</v>
      </c>
      <c r="B54" t="s">
        <v>88</v>
      </c>
      <c r="C54" t="s">
        <v>147</v>
      </c>
      <c r="D54" t="s">
        <v>164</v>
      </c>
      <c r="E54" s="7">
        <v>45761.379340277803</v>
      </c>
    </row>
    <row r="55" spans="1:5" x14ac:dyDescent="0.45">
      <c r="A55" s="6">
        <v>3042791</v>
      </c>
      <c r="B55" t="s">
        <v>59</v>
      </c>
      <c r="C55" t="s">
        <v>114</v>
      </c>
      <c r="D55" t="s">
        <v>123</v>
      </c>
      <c r="E55" s="7">
        <v>45761.441608796304</v>
      </c>
    </row>
    <row r="56" spans="1:5" x14ac:dyDescent="0.45">
      <c r="A56" s="6">
        <v>3043201</v>
      </c>
      <c r="B56" t="s">
        <v>59</v>
      </c>
      <c r="C56" t="s">
        <v>118</v>
      </c>
      <c r="D56" t="s">
        <v>123</v>
      </c>
      <c r="E56" s="7">
        <v>45769.642905092602</v>
      </c>
    </row>
    <row r="57" spans="1:5" x14ac:dyDescent="0.45">
      <c r="A57" s="6">
        <v>3041960</v>
      </c>
      <c r="B57" t="s">
        <v>165</v>
      </c>
      <c r="C57" t="s">
        <v>147</v>
      </c>
      <c r="D57" t="s">
        <v>126</v>
      </c>
      <c r="E57" s="7">
        <v>45748.671805555598</v>
      </c>
    </row>
    <row r="58" spans="1:5" x14ac:dyDescent="0.45">
      <c r="A58" s="6">
        <v>3041961</v>
      </c>
      <c r="B58" t="s">
        <v>165</v>
      </c>
      <c r="C58" t="s">
        <v>114</v>
      </c>
      <c r="D58" t="s">
        <v>126</v>
      </c>
      <c r="E58" s="7">
        <v>45748.673055555599</v>
      </c>
    </row>
    <row r="59" spans="1:5" x14ac:dyDescent="0.45">
      <c r="A59" s="6">
        <v>3043241</v>
      </c>
      <c r="B59" t="s">
        <v>165</v>
      </c>
      <c r="C59" t="s">
        <v>114</v>
      </c>
      <c r="D59" t="s">
        <v>126</v>
      </c>
      <c r="E59" s="7">
        <v>45770.454722222203</v>
      </c>
    </row>
    <row r="60" spans="1:5" x14ac:dyDescent="0.45">
      <c r="A60" s="6">
        <v>3042565</v>
      </c>
      <c r="B60" t="s">
        <v>138</v>
      </c>
      <c r="C60" t="s">
        <v>118</v>
      </c>
      <c r="D60" t="s">
        <v>131</v>
      </c>
      <c r="E60" s="7">
        <v>45757.628993055601</v>
      </c>
    </row>
    <row r="61" spans="1:5" x14ac:dyDescent="0.45">
      <c r="A61" s="6">
        <v>3042573</v>
      </c>
      <c r="B61" t="s">
        <v>138</v>
      </c>
      <c r="C61" t="s">
        <v>118</v>
      </c>
      <c r="D61" t="s">
        <v>131</v>
      </c>
      <c r="E61" s="7">
        <v>45757.634826388901</v>
      </c>
    </row>
    <row r="62" spans="1:5" x14ac:dyDescent="0.45">
      <c r="A62" s="6">
        <v>3043483</v>
      </c>
      <c r="B62" t="s">
        <v>138</v>
      </c>
      <c r="C62" t="s">
        <v>114</v>
      </c>
      <c r="D62" t="s">
        <v>131</v>
      </c>
      <c r="E62" s="7">
        <v>45776.506851851896</v>
      </c>
    </row>
    <row r="63" spans="1:5" x14ac:dyDescent="0.45">
      <c r="A63" s="6">
        <v>3042068</v>
      </c>
      <c r="B63" t="s">
        <v>68</v>
      </c>
      <c r="C63" t="s">
        <v>114</v>
      </c>
      <c r="D63" t="s">
        <v>67</v>
      </c>
      <c r="E63" s="7">
        <v>45750.529444444401</v>
      </c>
    </row>
    <row r="64" spans="1:5" x14ac:dyDescent="0.45">
      <c r="A64" s="6">
        <v>3043310</v>
      </c>
      <c r="B64" t="s">
        <v>68</v>
      </c>
      <c r="C64" t="s">
        <v>109</v>
      </c>
      <c r="D64" t="s">
        <v>67</v>
      </c>
      <c r="E64" s="7">
        <v>45771.561087962997</v>
      </c>
    </row>
    <row r="65" spans="1:5" x14ac:dyDescent="0.45">
      <c r="A65" s="6">
        <v>3043360</v>
      </c>
      <c r="B65" t="s">
        <v>68</v>
      </c>
      <c r="C65" t="s">
        <v>109</v>
      </c>
      <c r="D65" t="s">
        <v>67</v>
      </c>
      <c r="E65" s="7">
        <v>45772.508472222202</v>
      </c>
    </row>
    <row r="66" spans="1:5" x14ac:dyDescent="0.45">
      <c r="A66" s="6">
        <v>3041926</v>
      </c>
      <c r="B66" t="s">
        <v>75</v>
      </c>
      <c r="C66" t="s">
        <v>114</v>
      </c>
      <c r="D66" t="s">
        <v>74</v>
      </c>
      <c r="E66" s="7">
        <v>45748.5051157407</v>
      </c>
    </row>
    <row r="67" spans="1:5" x14ac:dyDescent="0.45">
      <c r="A67" s="6">
        <v>3041952</v>
      </c>
      <c r="B67" t="s">
        <v>75</v>
      </c>
      <c r="C67" t="s">
        <v>114</v>
      </c>
      <c r="D67" t="s">
        <v>74</v>
      </c>
      <c r="E67" s="7">
        <v>45748.633148148103</v>
      </c>
    </row>
    <row r="68" spans="1:5" x14ac:dyDescent="0.45">
      <c r="A68" s="6">
        <v>3042277</v>
      </c>
      <c r="B68" t="s">
        <v>75</v>
      </c>
      <c r="C68" t="s">
        <v>114</v>
      </c>
      <c r="D68" t="s">
        <v>74</v>
      </c>
      <c r="E68" s="7">
        <v>45754.490798611099</v>
      </c>
    </row>
    <row r="69" spans="1:5" x14ac:dyDescent="0.45">
      <c r="A69" s="6">
        <v>3041958</v>
      </c>
      <c r="B69" t="s">
        <v>92</v>
      </c>
      <c r="C69" t="s">
        <v>114</v>
      </c>
      <c r="D69" t="s">
        <v>137</v>
      </c>
      <c r="E69" s="7">
        <v>45748.655462962997</v>
      </c>
    </row>
    <row r="70" spans="1:5" x14ac:dyDescent="0.45">
      <c r="A70" s="6">
        <v>3042843</v>
      </c>
      <c r="B70" t="s">
        <v>92</v>
      </c>
      <c r="C70" t="s">
        <v>114</v>
      </c>
      <c r="D70" t="s">
        <v>137</v>
      </c>
      <c r="E70" s="7">
        <v>45762.423634259299</v>
      </c>
    </row>
    <row r="71" spans="1:5" x14ac:dyDescent="0.45">
      <c r="A71" s="6">
        <v>3043123</v>
      </c>
      <c r="B71" t="s">
        <v>92</v>
      </c>
      <c r="C71" t="s">
        <v>118</v>
      </c>
      <c r="D71" t="s">
        <v>137</v>
      </c>
      <c r="E71" s="7">
        <v>45768.630335648202</v>
      </c>
    </row>
    <row r="72" spans="1:5" x14ac:dyDescent="0.45">
      <c r="A72" s="6">
        <v>3043162</v>
      </c>
      <c r="B72" t="s">
        <v>92</v>
      </c>
      <c r="C72" t="s">
        <v>147</v>
      </c>
      <c r="D72" t="s">
        <v>137</v>
      </c>
      <c r="E72" s="7">
        <v>45769.384895833296</v>
      </c>
    </row>
    <row r="73" spans="1:5" x14ac:dyDescent="0.45">
      <c r="A73" s="6">
        <v>3043198</v>
      </c>
      <c r="B73" t="s">
        <v>92</v>
      </c>
      <c r="C73" t="s">
        <v>114</v>
      </c>
      <c r="D73" t="s">
        <v>137</v>
      </c>
      <c r="E73" s="7">
        <v>45769.638055555602</v>
      </c>
    </row>
    <row r="74" spans="1:5" x14ac:dyDescent="0.45">
      <c r="A74" s="6">
        <v>3043200</v>
      </c>
      <c r="B74" t="s">
        <v>92</v>
      </c>
      <c r="C74" t="s">
        <v>118</v>
      </c>
      <c r="D74" t="s">
        <v>137</v>
      </c>
      <c r="E74" s="7">
        <v>45769.642337963</v>
      </c>
    </row>
    <row r="75" spans="1:5" x14ac:dyDescent="0.45">
      <c r="A75" s="6">
        <v>3043282</v>
      </c>
      <c r="B75" t="s">
        <v>92</v>
      </c>
      <c r="C75" t="s">
        <v>118</v>
      </c>
      <c r="D75" t="s">
        <v>137</v>
      </c>
      <c r="E75" s="7">
        <v>45770.726979166699</v>
      </c>
    </row>
    <row r="76" spans="1:5" x14ac:dyDescent="0.45">
      <c r="A76" s="6">
        <v>3042082</v>
      </c>
      <c r="B76" t="s">
        <v>93</v>
      </c>
      <c r="C76" t="s">
        <v>147</v>
      </c>
      <c r="D76" t="s">
        <v>172</v>
      </c>
      <c r="E76" s="7">
        <v>45750.628402777802</v>
      </c>
    </row>
    <row r="77" spans="1:5" x14ac:dyDescent="0.45">
      <c r="A77" s="6">
        <v>3042360</v>
      </c>
      <c r="B77" t="s">
        <v>93</v>
      </c>
      <c r="C77" t="s">
        <v>114</v>
      </c>
      <c r="D77" t="s">
        <v>58</v>
      </c>
      <c r="E77" s="7">
        <v>45755.510891203703</v>
      </c>
    </row>
    <row r="78" spans="1:5" x14ac:dyDescent="0.45">
      <c r="A78" s="6">
        <v>3041948</v>
      </c>
      <c r="B78" t="s">
        <v>94</v>
      </c>
      <c r="C78" t="s">
        <v>114</v>
      </c>
      <c r="D78" t="s">
        <v>142</v>
      </c>
      <c r="E78" s="7">
        <v>45748.613761574103</v>
      </c>
    </row>
    <row r="79" spans="1:5" x14ac:dyDescent="0.45">
      <c r="A79" s="6">
        <v>3042890</v>
      </c>
      <c r="B79" t="s">
        <v>94</v>
      </c>
      <c r="C79" t="s">
        <v>114</v>
      </c>
      <c r="D79" t="s">
        <v>142</v>
      </c>
      <c r="E79" s="7">
        <v>45762.675775463002</v>
      </c>
    </row>
    <row r="80" spans="1:5" x14ac:dyDescent="0.45">
      <c r="A80" s="6">
        <v>3043036</v>
      </c>
      <c r="B80" t="s">
        <v>95</v>
      </c>
      <c r="C80" t="s">
        <v>109</v>
      </c>
      <c r="D80" t="s">
        <v>173</v>
      </c>
      <c r="E80" s="7">
        <v>45765.552210648202</v>
      </c>
    </row>
    <row r="81" spans="1:5" x14ac:dyDescent="0.45">
      <c r="A81" s="6">
        <v>3043121</v>
      </c>
      <c r="B81" t="s">
        <v>95</v>
      </c>
      <c r="C81" t="s">
        <v>118</v>
      </c>
      <c r="D81" t="s">
        <v>144</v>
      </c>
      <c r="E81" s="7">
        <v>45768.6257638889</v>
      </c>
    </row>
    <row r="82" spans="1:5" x14ac:dyDescent="0.45">
      <c r="A82" s="6">
        <v>3043122</v>
      </c>
      <c r="B82" t="s">
        <v>95</v>
      </c>
      <c r="C82" t="s">
        <v>118</v>
      </c>
      <c r="D82" t="s">
        <v>144</v>
      </c>
      <c r="E82" s="7">
        <v>45768.626550925903</v>
      </c>
    </row>
    <row r="83" spans="1:5" x14ac:dyDescent="0.45">
      <c r="A83" s="6">
        <v>3042377</v>
      </c>
      <c r="B83" t="s">
        <v>96</v>
      </c>
      <c r="C83" t="s">
        <v>114</v>
      </c>
      <c r="D83" t="s">
        <v>140</v>
      </c>
      <c r="E83" s="7">
        <v>45755.598148148201</v>
      </c>
    </row>
    <row r="84" spans="1:5" x14ac:dyDescent="0.45">
      <c r="A84" s="6">
        <v>3042379</v>
      </c>
      <c r="B84" t="s">
        <v>96</v>
      </c>
      <c r="C84" t="s">
        <v>118</v>
      </c>
      <c r="D84" t="s">
        <v>140</v>
      </c>
      <c r="E84" s="7">
        <v>45755.598807870403</v>
      </c>
    </row>
    <row r="85" spans="1:5" x14ac:dyDescent="0.45">
      <c r="A85" s="6">
        <v>3042382</v>
      </c>
      <c r="B85" t="s">
        <v>96</v>
      </c>
      <c r="C85" t="s">
        <v>118</v>
      </c>
      <c r="D85" t="s">
        <v>140</v>
      </c>
      <c r="E85" s="7">
        <v>45755.599502314799</v>
      </c>
    </row>
    <row r="86" spans="1:5" x14ac:dyDescent="0.45">
      <c r="A86" s="6">
        <v>3043319</v>
      </c>
      <c r="B86" t="s">
        <v>96</v>
      </c>
      <c r="C86" t="s">
        <v>118</v>
      </c>
      <c r="D86" t="s">
        <v>140</v>
      </c>
      <c r="E86" s="7">
        <v>45771.611423611103</v>
      </c>
    </row>
    <row r="87" spans="1:5" ht="14.65" thickBot="1" x14ac:dyDescent="0.5">
      <c r="A87" s="8">
        <v>3043324</v>
      </c>
      <c r="B87" s="9" t="s">
        <v>96</v>
      </c>
      <c r="C87" s="9" t="s">
        <v>118</v>
      </c>
      <c r="D87" s="9" t="s">
        <v>140</v>
      </c>
      <c r="E87" s="10">
        <v>45771.614641203698</v>
      </c>
    </row>
  </sheetData>
  <mergeCells count="2">
    <mergeCell ref="A27:E27"/>
    <mergeCell ref="G27:K2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AE374-6169-489B-9732-586E5C12EFF3}">
  <sheetPr codeName="Sheet10"/>
  <dimension ref="A1:F30"/>
  <sheetViews>
    <sheetView workbookViewId="0">
      <selection activeCell="C28" sqref="C27:C28"/>
    </sheetView>
  </sheetViews>
  <sheetFormatPr defaultRowHeight="14.25" x14ac:dyDescent="0.45"/>
  <cols>
    <col min="1" max="1" width="9.73046875" bestFit="1" customWidth="1"/>
    <col min="3" max="3" width="12.86328125" bestFit="1" customWidth="1"/>
    <col min="6" max="6" width="13.1328125" bestFit="1" customWidth="1"/>
  </cols>
  <sheetData>
    <row r="1" spans="1:6" x14ac:dyDescent="0.45">
      <c r="A1" t="s">
        <v>23</v>
      </c>
      <c r="B1" t="s">
        <v>97</v>
      </c>
      <c r="C1" t="s">
        <v>167</v>
      </c>
      <c r="D1" t="s">
        <v>99</v>
      </c>
      <c r="E1" t="s">
        <v>18</v>
      </c>
      <c r="F1" t="s">
        <v>174</v>
      </c>
    </row>
    <row r="2" spans="1:6" x14ac:dyDescent="0.45">
      <c r="A2" s="1">
        <v>46113</v>
      </c>
      <c r="B2">
        <v>9</v>
      </c>
      <c r="C2">
        <v>11</v>
      </c>
      <c r="D2" s="2">
        <f>SUM(B2/C2)</f>
        <v>0.81818181818181823</v>
      </c>
      <c r="E2" s="2">
        <v>0.8</v>
      </c>
      <c r="F2">
        <v>1</v>
      </c>
    </row>
    <row r="3" spans="1:6" x14ac:dyDescent="0.45">
      <c r="A3" s="1">
        <v>46114</v>
      </c>
      <c r="B3">
        <v>10</v>
      </c>
      <c r="C3">
        <v>11</v>
      </c>
      <c r="D3" s="2">
        <f t="shared" ref="D3:D23" si="0">SUM(B3/C3)</f>
        <v>0.90909090909090906</v>
      </c>
      <c r="E3" s="2">
        <v>0.8</v>
      </c>
      <c r="F3">
        <v>1</v>
      </c>
    </row>
    <row r="4" spans="1:6" x14ac:dyDescent="0.45">
      <c r="A4" s="1">
        <v>46115</v>
      </c>
      <c r="B4">
        <v>10</v>
      </c>
      <c r="C4">
        <v>11</v>
      </c>
      <c r="D4" s="2">
        <f t="shared" si="0"/>
        <v>0.90909090909090906</v>
      </c>
      <c r="E4" s="2">
        <v>0.8</v>
      </c>
      <c r="F4">
        <v>1</v>
      </c>
    </row>
    <row r="5" spans="1:6" x14ac:dyDescent="0.45">
      <c r="A5" s="1">
        <v>46118</v>
      </c>
      <c r="B5">
        <v>11</v>
      </c>
      <c r="C5">
        <v>11</v>
      </c>
      <c r="D5" s="2">
        <f t="shared" si="0"/>
        <v>1</v>
      </c>
      <c r="E5" s="2">
        <v>0.8</v>
      </c>
      <c r="F5">
        <v>1</v>
      </c>
    </row>
    <row r="6" spans="1:6" x14ac:dyDescent="0.45">
      <c r="A6" s="1">
        <v>46119</v>
      </c>
      <c r="B6">
        <v>10</v>
      </c>
      <c r="C6">
        <v>11</v>
      </c>
      <c r="D6" s="2">
        <f t="shared" si="0"/>
        <v>0.90909090909090906</v>
      </c>
      <c r="E6" s="2">
        <v>0.8</v>
      </c>
      <c r="F6">
        <v>1</v>
      </c>
    </row>
    <row r="7" spans="1:6" x14ac:dyDescent="0.45">
      <c r="A7" s="1">
        <v>46120</v>
      </c>
      <c r="B7">
        <v>10</v>
      </c>
      <c r="C7">
        <v>11</v>
      </c>
      <c r="D7" s="2">
        <f t="shared" si="0"/>
        <v>0.90909090909090906</v>
      </c>
      <c r="E7" s="2">
        <v>0.8</v>
      </c>
      <c r="F7">
        <v>1</v>
      </c>
    </row>
    <row r="8" spans="1:6" x14ac:dyDescent="0.45">
      <c r="A8" s="1">
        <v>46121</v>
      </c>
      <c r="B8">
        <v>8</v>
      </c>
      <c r="C8">
        <v>10</v>
      </c>
      <c r="D8" s="2">
        <f t="shared" si="0"/>
        <v>0.8</v>
      </c>
      <c r="E8" s="2">
        <v>0.8</v>
      </c>
      <c r="F8">
        <v>1</v>
      </c>
    </row>
    <row r="9" spans="1:6" x14ac:dyDescent="0.45">
      <c r="A9" s="1">
        <v>46122</v>
      </c>
      <c r="B9">
        <v>9</v>
      </c>
      <c r="C9">
        <v>10</v>
      </c>
      <c r="D9" s="2">
        <f t="shared" si="0"/>
        <v>0.9</v>
      </c>
      <c r="E9" s="2">
        <v>0.8</v>
      </c>
      <c r="F9">
        <v>1</v>
      </c>
    </row>
    <row r="10" spans="1:6" x14ac:dyDescent="0.45">
      <c r="A10" s="1">
        <v>46125</v>
      </c>
      <c r="B10">
        <v>8</v>
      </c>
      <c r="C10">
        <v>9</v>
      </c>
      <c r="D10" s="2">
        <f t="shared" si="0"/>
        <v>0.88888888888888884</v>
      </c>
      <c r="E10" s="2">
        <v>0.8</v>
      </c>
      <c r="F10">
        <v>1</v>
      </c>
    </row>
    <row r="11" spans="1:6" x14ac:dyDescent="0.45">
      <c r="A11" s="1">
        <v>46126</v>
      </c>
      <c r="B11">
        <v>7</v>
      </c>
      <c r="C11">
        <v>9</v>
      </c>
      <c r="D11" s="2">
        <f t="shared" si="0"/>
        <v>0.77777777777777779</v>
      </c>
      <c r="E11" s="2">
        <v>0.8</v>
      </c>
    </row>
    <row r="12" spans="1:6" x14ac:dyDescent="0.45">
      <c r="A12" s="1">
        <v>46127</v>
      </c>
      <c r="B12">
        <v>9</v>
      </c>
      <c r="C12">
        <v>9</v>
      </c>
      <c r="D12" s="2">
        <f t="shared" si="0"/>
        <v>1</v>
      </c>
      <c r="E12" s="2">
        <v>0.8</v>
      </c>
      <c r="F12">
        <v>1</v>
      </c>
    </row>
    <row r="13" spans="1:6" x14ac:dyDescent="0.45">
      <c r="A13" s="1">
        <v>46128</v>
      </c>
      <c r="B13">
        <v>8</v>
      </c>
      <c r="C13">
        <v>9</v>
      </c>
      <c r="D13" s="2">
        <f t="shared" si="0"/>
        <v>0.88888888888888884</v>
      </c>
      <c r="E13" s="2">
        <v>0.8</v>
      </c>
      <c r="F13">
        <v>1</v>
      </c>
    </row>
    <row r="14" spans="1:6" x14ac:dyDescent="0.45">
      <c r="A14" s="1">
        <v>46129</v>
      </c>
      <c r="B14">
        <v>8</v>
      </c>
      <c r="C14">
        <v>9</v>
      </c>
      <c r="D14" s="2">
        <f t="shared" si="0"/>
        <v>0.88888888888888884</v>
      </c>
      <c r="E14" s="2">
        <v>0.8</v>
      </c>
      <c r="F14">
        <v>1</v>
      </c>
    </row>
    <row r="15" spans="1:6" x14ac:dyDescent="0.45">
      <c r="A15" s="1">
        <v>46132</v>
      </c>
      <c r="B15">
        <v>9</v>
      </c>
      <c r="C15">
        <v>9</v>
      </c>
      <c r="D15" s="2">
        <f t="shared" si="0"/>
        <v>1</v>
      </c>
      <c r="E15" s="2">
        <v>0.8</v>
      </c>
      <c r="F15">
        <v>1</v>
      </c>
    </row>
    <row r="16" spans="1:6" x14ac:dyDescent="0.45">
      <c r="A16" s="1">
        <v>46133</v>
      </c>
      <c r="B16">
        <v>9</v>
      </c>
      <c r="C16">
        <v>9</v>
      </c>
      <c r="D16" s="2">
        <f t="shared" si="0"/>
        <v>1</v>
      </c>
      <c r="E16" s="2">
        <v>0.8</v>
      </c>
      <c r="F16">
        <v>1</v>
      </c>
    </row>
    <row r="17" spans="1:6" x14ac:dyDescent="0.45">
      <c r="A17" s="1">
        <v>46134</v>
      </c>
      <c r="B17">
        <v>9</v>
      </c>
      <c r="C17">
        <v>9</v>
      </c>
      <c r="D17" s="2">
        <f t="shared" si="0"/>
        <v>1</v>
      </c>
      <c r="E17" s="2">
        <v>0.8</v>
      </c>
      <c r="F17">
        <v>1</v>
      </c>
    </row>
    <row r="18" spans="1:6" x14ac:dyDescent="0.45">
      <c r="A18" s="1">
        <v>46135</v>
      </c>
      <c r="B18">
        <v>9</v>
      </c>
      <c r="C18">
        <v>9</v>
      </c>
      <c r="D18" s="2">
        <f t="shared" si="0"/>
        <v>1</v>
      </c>
      <c r="E18" s="2">
        <v>0.8</v>
      </c>
      <c r="F18">
        <v>1</v>
      </c>
    </row>
    <row r="19" spans="1:6" x14ac:dyDescent="0.45">
      <c r="A19" s="1">
        <v>46136</v>
      </c>
      <c r="B19">
        <v>8</v>
      </c>
      <c r="C19">
        <v>9</v>
      </c>
      <c r="D19" s="2">
        <f t="shared" si="0"/>
        <v>0.88888888888888884</v>
      </c>
      <c r="E19" s="2">
        <v>0.8</v>
      </c>
      <c r="F19">
        <v>1</v>
      </c>
    </row>
    <row r="20" spans="1:6" x14ac:dyDescent="0.45">
      <c r="A20" s="1">
        <v>46139</v>
      </c>
      <c r="B20">
        <v>9</v>
      </c>
      <c r="C20">
        <v>9</v>
      </c>
      <c r="D20" s="2">
        <f t="shared" si="0"/>
        <v>1</v>
      </c>
      <c r="E20" s="2">
        <v>0.8</v>
      </c>
      <c r="F20">
        <v>1</v>
      </c>
    </row>
    <row r="21" spans="1:6" x14ac:dyDescent="0.45">
      <c r="A21" s="1">
        <v>46140</v>
      </c>
      <c r="B21">
        <v>6</v>
      </c>
      <c r="C21">
        <v>9</v>
      </c>
      <c r="D21" s="2">
        <f t="shared" si="0"/>
        <v>0.66666666666666663</v>
      </c>
      <c r="E21" s="2">
        <v>0.8</v>
      </c>
    </row>
    <row r="22" spans="1:6" x14ac:dyDescent="0.45">
      <c r="A22" s="1">
        <v>46141</v>
      </c>
      <c r="B22">
        <v>7</v>
      </c>
      <c r="C22">
        <v>9</v>
      </c>
      <c r="D22" s="2">
        <f t="shared" si="0"/>
        <v>0.77777777777777779</v>
      </c>
      <c r="E22" s="2">
        <v>0.8</v>
      </c>
    </row>
    <row r="23" spans="1:6" x14ac:dyDescent="0.45">
      <c r="A23" s="1">
        <v>46142</v>
      </c>
      <c r="B23">
        <v>7</v>
      </c>
      <c r="C23">
        <v>9</v>
      </c>
      <c r="D23" s="2">
        <f t="shared" si="0"/>
        <v>0.77777777777777779</v>
      </c>
      <c r="E23" s="2">
        <v>0.8</v>
      </c>
    </row>
    <row r="24" spans="1:6" x14ac:dyDescent="0.45">
      <c r="A24" s="1" t="s">
        <v>20</v>
      </c>
      <c r="B24">
        <f>AVERAGE(B2:B23)</f>
        <v>8.6363636363636367</v>
      </c>
      <c r="C24">
        <f>AVERAGE(C2:C23)</f>
        <v>9.6363636363636367</v>
      </c>
      <c r="D24" s="2">
        <f>(B24/C24)</f>
        <v>0.89622641509433965</v>
      </c>
      <c r="E24" s="2"/>
      <c r="F24">
        <f>COUNT(F2:F23)</f>
        <v>18</v>
      </c>
    </row>
    <row r="25" spans="1:6" x14ac:dyDescent="0.45">
      <c r="A25" s="1"/>
    </row>
    <row r="26" spans="1:6" x14ac:dyDescent="0.45">
      <c r="A26" s="1"/>
    </row>
    <row r="27" spans="1:6" x14ac:dyDescent="0.45">
      <c r="A27" s="1"/>
    </row>
    <row r="28" spans="1:6" x14ac:dyDescent="0.45">
      <c r="A28" s="1"/>
    </row>
    <row r="29" spans="1:6" x14ac:dyDescent="0.45">
      <c r="A29" s="1"/>
    </row>
    <row r="30" spans="1:6" x14ac:dyDescent="0.45">
      <c r="A30" s="1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D07A-A2C2-4A77-9CDE-585EFDD4704C}">
  <sheetPr codeName="Sheet11"/>
  <dimension ref="A1:K87"/>
  <sheetViews>
    <sheetView workbookViewId="0">
      <selection activeCell="D2" sqref="D2"/>
    </sheetView>
  </sheetViews>
  <sheetFormatPr defaultRowHeight="14.25" x14ac:dyDescent="0.45"/>
  <cols>
    <col min="1" max="1" width="15.265625" bestFit="1" customWidth="1"/>
    <col min="2" max="2" width="14.59765625" bestFit="1" customWidth="1"/>
    <col min="3" max="3" width="20.1328125" bestFit="1" customWidth="1"/>
    <col min="4" max="4" width="20.73046875" bestFit="1" customWidth="1"/>
    <col min="5" max="5" width="14.86328125" bestFit="1" customWidth="1"/>
    <col min="7" max="7" width="9.73046875" bestFit="1" customWidth="1"/>
    <col min="8" max="8" width="19.86328125" bestFit="1" customWidth="1"/>
    <col min="9" max="9" width="10.73046875" bestFit="1" customWidth="1"/>
    <col min="10" max="10" width="13.1328125" bestFit="1" customWidth="1"/>
    <col min="11" max="11" width="21.86328125" bestFit="1" customWidth="1"/>
  </cols>
  <sheetData>
    <row r="1" spans="1:5" x14ac:dyDescent="0.45">
      <c r="A1" t="s">
        <v>25</v>
      </c>
      <c r="B1" s="3" t="s">
        <v>146</v>
      </c>
      <c r="C1" s="3" t="s">
        <v>81</v>
      </c>
      <c r="D1" s="3" t="s">
        <v>100</v>
      </c>
      <c r="E1" s="3" t="s">
        <v>101</v>
      </c>
    </row>
    <row r="2" spans="1:5" x14ac:dyDescent="0.45">
      <c r="A2" t="s">
        <v>82</v>
      </c>
      <c r="B2" s="3">
        <v>5</v>
      </c>
      <c r="C2" s="3">
        <v>2</v>
      </c>
      <c r="D2" s="3">
        <v>6</v>
      </c>
      <c r="E2" s="3">
        <v>0</v>
      </c>
    </row>
    <row r="3" spans="1:5" x14ac:dyDescent="0.45">
      <c r="A3" t="s">
        <v>37</v>
      </c>
      <c r="B3" s="3">
        <v>1</v>
      </c>
      <c r="C3" s="3">
        <v>0</v>
      </c>
      <c r="D3" s="3">
        <v>10</v>
      </c>
      <c r="E3" s="3">
        <v>0</v>
      </c>
    </row>
    <row r="4" spans="1:5" x14ac:dyDescent="0.45">
      <c r="A4" t="s">
        <v>83</v>
      </c>
      <c r="B4" s="3">
        <v>2</v>
      </c>
      <c r="C4" s="3">
        <v>0</v>
      </c>
      <c r="D4" s="3">
        <v>3</v>
      </c>
      <c r="E4" s="3">
        <v>0</v>
      </c>
    </row>
    <row r="5" spans="1:5" x14ac:dyDescent="0.45">
      <c r="A5" t="s">
        <v>84</v>
      </c>
      <c r="B5" s="3">
        <v>2</v>
      </c>
      <c r="C5" s="3">
        <v>0</v>
      </c>
      <c r="D5" s="3">
        <v>7</v>
      </c>
      <c r="E5" s="3">
        <v>0</v>
      </c>
    </row>
    <row r="6" spans="1:5" x14ac:dyDescent="0.45">
      <c r="A6" t="s">
        <v>46</v>
      </c>
      <c r="B6" s="3">
        <v>2</v>
      </c>
      <c r="C6" s="3">
        <v>1</v>
      </c>
      <c r="D6" s="3">
        <v>6</v>
      </c>
      <c r="E6" s="3">
        <v>0</v>
      </c>
    </row>
    <row r="7" spans="1:5" x14ac:dyDescent="0.45">
      <c r="A7" t="s">
        <v>85</v>
      </c>
      <c r="B7" s="3">
        <v>1</v>
      </c>
      <c r="C7" s="3">
        <v>1</v>
      </c>
      <c r="D7" s="3">
        <v>25</v>
      </c>
      <c r="E7" s="3">
        <v>0</v>
      </c>
    </row>
    <row r="8" spans="1:5" x14ac:dyDescent="0.45">
      <c r="A8" t="s">
        <v>86</v>
      </c>
      <c r="B8" s="3">
        <v>1</v>
      </c>
      <c r="C8" s="3">
        <v>1</v>
      </c>
      <c r="D8" s="3">
        <v>2</v>
      </c>
      <c r="E8" s="3">
        <v>0</v>
      </c>
    </row>
    <row r="9" spans="1:5" x14ac:dyDescent="0.45">
      <c r="A9" t="s">
        <v>87</v>
      </c>
      <c r="B9" s="3">
        <v>2</v>
      </c>
      <c r="C9" s="3">
        <v>0</v>
      </c>
      <c r="D9" s="3">
        <v>24</v>
      </c>
      <c r="E9" s="3">
        <v>0</v>
      </c>
    </row>
    <row r="10" spans="1:5" x14ac:dyDescent="0.45">
      <c r="A10" t="s">
        <v>54</v>
      </c>
      <c r="B10" s="3">
        <v>2</v>
      </c>
      <c r="C10" s="3">
        <v>1</v>
      </c>
      <c r="D10" s="3">
        <v>1</v>
      </c>
      <c r="E10" s="3">
        <v>0</v>
      </c>
    </row>
    <row r="11" spans="1:5" x14ac:dyDescent="0.45">
      <c r="A11" t="s">
        <v>88</v>
      </c>
      <c r="B11" s="3">
        <v>9</v>
      </c>
      <c r="C11" s="3">
        <v>0</v>
      </c>
      <c r="D11" s="3">
        <v>8</v>
      </c>
      <c r="E11" s="3">
        <v>0</v>
      </c>
    </row>
    <row r="12" spans="1:5" x14ac:dyDescent="0.45">
      <c r="A12" t="s">
        <v>89</v>
      </c>
      <c r="B12" s="3">
        <v>0</v>
      </c>
      <c r="C12" s="3">
        <v>0</v>
      </c>
      <c r="D12" s="3">
        <v>0</v>
      </c>
      <c r="E12" s="3">
        <v>0</v>
      </c>
    </row>
    <row r="13" spans="1:5" x14ac:dyDescent="0.45">
      <c r="A13" t="s">
        <v>59</v>
      </c>
      <c r="B13" s="3">
        <v>3</v>
      </c>
      <c r="C13" s="3">
        <v>0</v>
      </c>
      <c r="D13" s="3">
        <v>12</v>
      </c>
      <c r="E13" s="3">
        <v>0</v>
      </c>
    </row>
    <row r="14" spans="1:5" x14ac:dyDescent="0.45">
      <c r="A14" t="s">
        <v>90</v>
      </c>
      <c r="B14" s="3">
        <v>2</v>
      </c>
      <c r="C14" s="3">
        <v>0</v>
      </c>
      <c r="D14" s="3">
        <v>10</v>
      </c>
      <c r="E14" s="3">
        <v>0</v>
      </c>
    </row>
    <row r="15" spans="1:5" x14ac:dyDescent="0.45">
      <c r="A15" t="s">
        <v>66</v>
      </c>
      <c r="B15" s="3">
        <v>3</v>
      </c>
      <c r="C15" s="3">
        <v>0</v>
      </c>
      <c r="D15" s="3">
        <v>6</v>
      </c>
      <c r="E15" s="3">
        <v>0</v>
      </c>
    </row>
    <row r="16" spans="1:5" x14ac:dyDescent="0.45">
      <c r="A16" t="s">
        <v>68</v>
      </c>
      <c r="B16" s="3">
        <v>2</v>
      </c>
      <c r="C16" s="3">
        <v>0</v>
      </c>
      <c r="D16" s="3">
        <v>10</v>
      </c>
      <c r="E16" s="3">
        <v>0</v>
      </c>
    </row>
    <row r="17" spans="1:11" x14ac:dyDescent="0.45">
      <c r="A17" t="s">
        <v>91</v>
      </c>
      <c r="B17" s="3">
        <v>1</v>
      </c>
      <c r="C17" s="3">
        <v>0</v>
      </c>
      <c r="D17" s="3">
        <v>6</v>
      </c>
      <c r="E17" s="3">
        <v>0</v>
      </c>
    </row>
    <row r="18" spans="1:11" x14ac:dyDescent="0.45">
      <c r="A18" t="s">
        <v>75</v>
      </c>
      <c r="B18" s="3">
        <v>3</v>
      </c>
      <c r="C18" s="3">
        <v>0</v>
      </c>
      <c r="D18" s="3">
        <v>3</v>
      </c>
      <c r="E18" s="3">
        <v>0</v>
      </c>
    </row>
    <row r="19" spans="1:11" x14ac:dyDescent="0.45">
      <c r="A19" t="s">
        <v>92</v>
      </c>
      <c r="B19" s="3">
        <v>1</v>
      </c>
      <c r="C19" s="3">
        <v>0</v>
      </c>
      <c r="D19" s="3">
        <v>12</v>
      </c>
      <c r="E19" s="3">
        <v>0</v>
      </c>
    </row>
    <row r="20" spans="1:11" x14ac:dyDescent="0.45">
      <c r="A20" t="s">
        <v>93</v>
      </c>
      <c r="B20" s="3">
        <v>9</v>
      </c>
      <c r="C20" s="3">
        <v>0</v>
      </c>
      <c r="D20" s="3">
        <v>1</v>
      </c>
      <c r="E20" s="3">
        <v>0</v>
      </c>
    </row>
    <row r="21" spans="1:11" x14ac:dyDescent="0.45">
      <c r="A21" t="s">
        <v>78</v>
      </c>
      <c r="B21" s="3">
        <v>3</v>
      </c>
      <c r="C21" s="3">
        <v>1</v>
      </c>
      <c r="D21" s="3">
        <v>3</v>
      </c>
      <c r="E21" s="3">
        <v>0</v>
      </c>
    </row>
    <row r="22" spans="1:11" x14ac:dyDescent="0.45">
      <c r="A22" t="s">
        <v>94</v>
      </c>
      <c r="B22" s="3">
        <v>0</v>
      </c>
      <c r="C22" s="3">
        <v>0</v>
      </c>
      <c r="D22" s="3">
        <v>1</v>
      </c>
      <c r="E22" s="3">
        <v>0</v>
      </c>
    </row>
    <row r="23" spans="1:11" x14ac:dyDescent="0.45">
      <c r="A23" t="s">
        <v>95</v>
      </c>
      <c r="B23" s="3">
        <v>2</v>
      </c>
      <c r="C23" s="3">
        <v>4</v>
      </c>
      <c r="D23" s="3">
        <v>7</v>
      </c>
      <c r="E23" s="3">
        <v>0</v>
      </c>
    </row>
    <row r="24" spans="1:11" x14ac:dyDescent="0.45">
      <c r="A24" t="s">
        <v>96</v>
      </c>
      <c r="B24" s="3">
        <v>2</v>
      </c>
      <c r="C24" s="3">
        <v>0</v>
      </c>
      <c r="D24" s="3">
        <v>8</v>
      </c>
      <c r="E24" s="3">
        <v>0</v>
      </c>
    </row>
    <row r="25" spans="1:11" x14ac:dyDescent="0.45">
      <c r="A25" t="s">
        <v>16</v>
      </c>
      <c r="B25" s="3">
        <f>SUM(B2:B24)</f>
        <v>58</v>
      </c>
      <c r="C25" s="3">
        <f>SUM(C2:C24)</f>
        <v>11</v>
      </c>
      <c r="D25" s="3">
        <f t="shared" ref="D25:E25" si="0">SUM(D2:D24)</f>
        <v>171</v>
      </c>
      <c r="E25" s="3">
        <f t="shared" si="0"/>
        <v>0</v>
      </c>
    </row>
    <row r="26" spans="1:11" ht="14.65" thickBot="1" x14ac:dyDescent="0.5">
      <c r="A26" s="9"/>
      <c r="B26" s="9"/>
      <c r="C26" s="9"/>
      <c r="D26" s="9"/>
      <c r="E26" s="9"/>
    </row>
    <row r="27" spans="1:11" x14ac:dyDescent="0.45">
      <c r="A27" s="26" t="s">
        <v>102</v>
      </c>
      <c r="B27" s="27"/>
      <c r="C27" s="27"/>
      <c r="D27" s="27"/>
      <c r="E27" s="28"/>
      <c r="G27" s="26" t="s">
        <v>22</v>
      </c>
      <c r="H27" s="27"/>
      <c r="I27" s="27"/>
      <c r="J27" s="27"/>
      <c r="K27" s="28"/>
    </row>
    <row r="28" spans="1:11" x14ac:dyDescent="0.45">
      <c r="A28" s="4" t="s">
        <v>103</v>
      </c>
      <c r="B28" t="s">
        <v>104</v>
      </c>
      <c r="C28" t="s">
        <v>105</v>
      </c>
      <c r="D28" t="s">
        <v>106</v>
      </c>
      <c r="E28" s="5" t="s">
        <v>107</v>
      </c>
      <c r="G28" s="11" t="s">
        <v>23</v>
      </c>
      <c r="H28" s="3" t="s">
        <v>24</v>
      </c>
      <c r="I28" s="3" t="s">
        <v>25</v>
      </c>
      <c r="J28" s="3" t="s">
        <v>26</v>
      </c>
      <c r="K28" s="12" t="s">
        <v>27</v>
      </c>
    </row>
    <row r="29" spans="1:11" x14ac:dyDescent="0.45">
      <c r="A29" s="6">
        <v>3043585</v>
      </c>
      <c r="B29" t="s">
        <v>108</v>
      </c>
      <c r="C29" t="s">
        <v>147</v>
      </c>
      <c r="D29" t="s">
        <v>28</v>
      </c>
      <c r="E29" s="7">
        <v>45778.425567129598</v>
      </c>
      <c r="G29" s="13">
        <v>45771</v>
      </c>
      <c r="H29" t="s">
        <v>36</v>
      </c>
      <c r="I29" t="s">
        <v>37</v>
      </c>
      <c r="J29" t="s">
        <v>148</v>
      </c>
      <c r="K29" s="5" t="s">
        <v>133</v>
      </c>
    </row>
    <row r="30" spans="1:11" x14ac:dyDescent="0.45">
      <c r="A30" s="6">
        <v>3043822</v>
      </c>
      <c r="B30" t="s">
        <v>108</v>
      </c>
      <c r="C30" t="s">
        <v>147</v>
      </c>
      <c r="D30" t="s">
        <v>28</v>
      </c>
      <c r="E30" s="7">
        <v>45783.479143518503</v>
      </c>
      <c r="G30" s="13">
        <v>45768</v>
      </c>
      <c r="H30" t="s">
        <v>112</v>
      </c>
      <c r="I30" t="s">
        <v>83</v>
      </c>
      <c r="J30" t="s">
        <v>148</v>
      </c>
      <c r="K30" s="5" t="s">
        <v>61</v>
      </c>
    </row>
    <row r="31" spans="1:11" x14ac:dyDescent="0.45">
      <c r="A31" s="6">
        <v>3044158</v>
      </c>
      <c r="B31" t="s">
        <v>108</v>
      </c>
      <c r="C31" t="s">
        <v>147</v>
      </c>
      <c r="D31" t="s">
        <v>28</v>
      </c>
      <c r="E31" s="7">
        <v>45790.614178240699</v>
      </c>
      <c r="G31" s="13">
        <v>45775</v>
      </c>
      <c r="H31" t="s">
        <v>53</v>
      </c>
      <c r="I31" t="s">
        <v>54</v>
      </c>
      <c r="J31" t="s">
        <v>42</v>
      </c>
      <c r="K31" s="5" t="s">
        <v>48</v>
      </c>
    </row>
    <row r="32" spans="1:11" x14ac:dyDescent="0.45">
      <c r="A32" s="6">
        <v>3044831</v>
      </c>
      <c r="B32" t="s">
        <v>108</v>
      </c>
      <c r="C32" t="s">
        <v>118</v>
      </c>
      <c r="D32" t="s">
        <v>28</v>
      </c>
      <c r="E32" s="7">
        <v>45804.727800925903</v>
      </c>
      <c r="G32" s="13">
        <v>45764</v>
      </c>
      <c r="H32" t="s">
        <v>55</v>
      </c>
      <c r="I32" t="s">
        <v>56</v>
      </c>
      <c r="J32" t="s">
        <v>148</v>
      </c>
      <c r="K32" s="5" t="s">
        <v>43</v>
      </c>
    </row>
    <row r="33" spans="1:11" x14ac:dyDescent="0.45">
      <c r="A33" s="6">
        <v>3044833</v>
      </c>
      <c r="B33" t="s">
        <v>108</v>
      </c>
      <c r="C33" t="s">
        <v>147</v>
      </c>
      <c r="D33" t="s">
        <v>28</v>
      </c>
      <c r="E33" s="7">
        <v>45804.728506944397</v>
      </c>
      <c r="G33" s="13">
        <v>45769</v>
      </c>
      <c r="H33" t="s">
        <v>169</v>
      </c>
      <c r="I33" t="s">
        <v>89</v>
      </c>
      <c r="J33" t="s">
        <v>148</v>
      </c>
      <c r="K33" s="5" t="s">
        <v>33</v>
      </c>
    </row>
    <row r="34" spans="1:11" x14ac:dyDescent="0.45">
      <c r="A34" s="6">
        <v>3044966</v>
      </c>
      <c r="B34" t="s">
        <v>37</v>
      </c>
      <c r="C34" t="s">
        <v>118</v>
      </c>
      <c r="D34" t="s">
        <v>115</v>
      </c>
      <c r="E34" s="7">
        <v>45807.405358796299</v>
      </c>
      <c r="G34" s="13">
        <v>45748</v>
      </c>
      <c r="H34" t="s">
        <v>123</v>
      </c>
      <c r="I34" t="s">
        <v>59</v>
      </c>
      <c r="J34" t="s">
        <v>156</v>
      </c>
      <c r="K34" s="5" t="s">
        <v>70</v>
      </c>
    </row>
    <row r="35" spans="1:11" x14ac:dyDescent="0.45">
      <c r="A35" s="6">
        <v>3044205</v>
      </c>
      <c r="B35" t="s">
        <v>83</v>
      </c>
      <c r="C35" t="s">
        <v>147</v>
      </c>
      <c r="D35" t="s">
        <v>112</v>
      </c>
      <c r="E35" s="7">
        <v>45791.506620370397</v>
      </c>
      <c r="G35" s="13">
        <v>45748</v>
      </c>
      <c r="H35" t="s">
        <v>119</v>
      </c>
      <c r="I35" t="s">
        <v>63</v>
      </c>
      <c r="J35" t="s">
        <v>42</v>
      </c>
      <c r="K35" s="5" t="s">
        <v>35</v>
      </c>
    </row>
    <row r="36" spans="1:11" x14ac:dyDescent="0.45">
      <c r="A36" s="6">
        <v>3045008</v>
      </c>
      <c r="B36" t="s">
        <v>83</v>
      </c>
      <c r="C36" t="s">
        <v>118</v>
      </c>
      <c r="D36" t="s">
        <v>112</v>
      </c>
      <c r="E36" s="7">
        <v>45807.701562499999</v>
      </c>
      <c r="G36" s="13">
        <v>45757</v>
      </c>
      <c r="H36" t="s">
        <v>134</v>
      </c>
      <c r="I36" t="s">
        <v>91</v>
      </c>
      <c r="J36" t="s">
        <v>148</v>
      </c>
      <c r="K36" s="5" t="s">
        <v>170</v>
      </c>
    </row>
    <row r="37" spans="1:11" x14ac:dyDescent="0.45">
      <c r="A37" s="6">
        <v>3044976</v>
      </c>
      <c r="B37" t="s">
        <v>160</v>
      </c>
      <c r="C37" t="s">
        <v>118</v>
      </c>
      <c r="D37" t="s">
        <v>163</v>
      </c>
      <c r="E37" s="7">
        <v>45807.4832986111</v>
      </c>
      <c r="G37" s="13">
        <v>45749</v>
      </c>
      <c r="H37" t="s">
        <v>166</v>
      </c>
      <c r="I37" t="s">
        <v>75</v>
      </c>
      <c r="J37" t="s">
        <v>148</v>
      </c>
      <c r="K37" s="5" t="s">
        <v>70</v>
      </c>
    </row>
    <row r="38" spans="1:11" x14ac:dyDescent="0.45">
      <c r="A38" s="6">
        <v>3044977</v>
      </c>
      <c r="B38" t="s">
        <v>160</v>
      </c>
      <c r="C38" t="s">
        <v>118</v>
      </c>
      <c r="D38" t="s">
        <v>163</v>
      </c>
      <c r="E38" s="7">
        <v>45807.4840625</v>
      </c>
      <c r="G38" s="13">
        <v>45757</v>
      </c>
      <c r="H38" t="s">
        <v>137</v>
      </c>
      <c r="I38" t="s">
        <v>92</v>
      </c>
      <c r="J38" t="s">
        <v>171</v>
      </c>
      <c r="K38" s="5" t="s">
        <v>61</v>
      </c>
    </row>
    <row r="39" spans="1:11" ht="14.65" thickBot="1" x14ac:dyDescent="0.5">
      <c r="A39" s="6">
        <v>3043788</v>
      </c>
      <c r="B39" t="s">
        <v>46</v>
      </c>
      <c r="C39" t="s">
        <v>147</v>
      </c>
      <c r="D39" t="s">
        <v>175</v>
      </c>
      <c r="E39" s="7">
        <v>45782.695821759298</v>
      </c>
      <c r="G39" s="16">
        <v>45764</v>
      </c>
      <c r="H39" s="9" t="s">
        <v>140</v>
      </c>
      <c r="I39" s="9" t="s">
        <v>96</v>
      </c>
      <c r="J39" s="9" t="s">
        <v>148</v>
      </c>
      <c r="K39" s="17" t="s">
        <v>69</v>
      </c>
    </row>
    <row r="40" spans="1:11" x14ac:dyDescent="0.45">
      <c r="A40" s="6">
        <v>3044404</v>
      </c>
      <c r="B40" t="s">
        <v>46</v>
      </c>
      <c r="C40" t="s">
        <v>147</v>
      </c>
      <c r="D40" t="s">
        <v>45</v>
      </c>
      <c r="E40" s="7">
        <v>45796.489652777796</v>
      </c>
    </row>
    <row r="41" spans="1:11" x14ac:dyDescent="0.45">
      <c r="A41" s="6">
        <v>3044989</v>
      </c>
      <c r="B41" t="s">
        <v>85</v>
      </c>
      <c r="C41" t="s">
        <v>118</v>
      </c>
      <c r="D41" t="s">
        <v>55</v>
      </c>
      <c r="E41" s="7">
        <v>45807.5948726852</v>
      </c>
    </row>
    <row r="42" spans="1:11" x14ac:dyDescent="0.45">
      <c r="A42" s="6">
        <v>3044817</v>
      </c>
      <c r="B42" t="s">
        <v>86</v>
      </c>
      <c r="C42" t="s">
        <v>118</v>
      </c>
      <c r="D42" t="s">
        <v>62</v>
      </c>
      <c r="E42" s="7">
        <v>45804.675972222198</v>
      </c>
    </row>
    <row r="43" spans="1:11" x14ac:dyDescent="0.45">
      <c r="A43" s="6">
        <v>3043624</v>
      </c>
      <c r="B43" t="s">
        <v>87</v>
      </c>
      <c r="C43" t="s">
        <v>147</v>
      </c>
      <c r="D43" t="s">
        <v>120</v>
      </c>
      <c r="E43" s="7">
        <v>45778.656875000001</v>
      </c>
    </row>
    <row r="44" spans="1:11" x14ac:dyDescent="0.45">
      <c r="A44" s="6">
        <v>3044443</v>
      </c>
      <c r="B44" t="s">
        <v>87</v>
      </c>
      <c r="C44" t="s">
        <v>118</v>
      </c>
      <c r="D44" t="s">
        <v>120</v>
      </c>
      <c r="E44" s="7">
        <v>45796.673703703702</v>
      </c>
    </row>
    <row r="45" spans="1:11" x14ac:dyDescent="0.45">
      <c r="A45" s="6">
        <v>3043976</v>
      </c>
      <c r="B45" t="s">
        <v>54</v>
      </c>
      <c r="C45" t="s">
        <v>147</v>
      </c>
      <c r="D45" t="s">
        <v>125</v>
      </c>
      <c r="E45" s="7">
        <v>45785.726550925901</v>
      </c>
    </row>
    <row r="46" spans="1:11" x14ac:dyDescent="0.45">
      <c r="A46" s="6">
        <v>3044841</v>
      </c>
      <c r="B46" t="s">
        <v>54</v>
      </c>
      <c r="C46" t="s">
        <v>118</v>
      </c>
      <c r="D46" t="s">
        <v>125</v>
      </c>
      <c r="E46" s="7">
        <v>45805.3904861111</v>
      </c>
    </row>
    <row r="47" spans="1:11" x14ac:dyDescent="0.45">
      <c r="A47" s="6">
        <v>3043716</v>
      </c>
      <c r="B47" t="s">
        <v>88</v>
      </c>
      <c r="C47" t="s">
        <v>147</v>
      </c>
      <c r="D47" t="s">
        <v>164</v>
      </c>
      <c r="E47" s="7">
        <v>45780.393287036997</v>
      </c>
    </row>
    <row r="48" spans="1:11" x14ac:dyDescent="0.45">
      <c r="A48" s="6">
        <v>3043815</v>
      </c>
      <c r="B48" t="s">
        <v>88</v>
      </c>
      <c r="C48" t="s">
        <v>118</v>
      </c>
      <c r="D48" t="s">
        <v>164</v>
      </c>
      <c r="E48" s="7">
        <v>45783.407476851899</v>
      </c>
    </row>
    <row r="49" spans="1:5" x14ac:dyDescent="0.45">
      <c r="A49" s="6">
        <v>3043963</v>
      </c>
      <c r="B49" t="s">
        <v>88</v>
      </c>
      <c r="C49" t="s">
        <v>147</v>
      </c>
      <c r="D49" t="s">
        <v>164</v>
      </c>
      <c r="E49" s="7">
        <v>45785.636516203696</v>
      </c>
    </row>
    <row r="50" spans="1:5" x14ac:dyDescent="0.45">
      <c r="A50" s="6">
        <v>3044123</v>
      </c>
      <c r="B50" t="s">
        <v>88</v>
      </c>
      <c r="C50" t="s">
        <v>147</v>
      </c>
      <c r="D50" t="s">
        <v>164</v>
      </c>
      <c r="E50" s="7">
        <v>45790.375219907401</v>
      </c>
    </row>
    <row r="51" spans="1:5" x14ac:dyDescent="0.45">
      <c r="A51" s="6">
        <v>3044411</v>
      </c>
      <c r="B51" t="s">
        <v>88</v>
      </c>
      <c r="C51" t="s">
        <v>118</v>
      </c>
      <c r="D51" t="s">
        <v>164</v>
      </c>
      <c r="E51" s="7">
        <v>45796.552245370403</v>
      </c>
    </row>
    <row r="52" spans="1:5" x14ac:dyDescent="0.45">
      <c r="A52" s="6">
        <v>3044764</v>
      </c>
      <c r="B52" t="s">
        <v>88</v>
      </c>
      <c r="C52" t="s">
        <v>118</v>
      </c>
      <c r="D52" t="s">
        <v>164</v>
      </c>
      <c r="E52" s="7">
        <v>45804.413645833301</v>
      </c>
    </row>
    <row r="53" spans="1:5" x14ac:dyDescent="0.45">
      <c r="A53" s="6">
        <v>3044767</v>
      </c>
      <c r="B53" t="s">
        <v>88</v>
      </c>
      <c r="C53" t="s">
        <v>118</v>
      </c>
      <c r="D53" t="s">
        <v>164</v>
      </c>
      <c r="E53" s="7">
        <v>45804.421249999999</v>
      </c>
    </row>
    <row r="54" spans="1:5" x14ac:dyDescent="0.45">
      <c r="A54" s="6">
        <v>3044768</v>
      </c>
      <c r="B54" t="s">
        <v>88</v>
      </c>
      <c r="C54" t="s">
        <v>118</v>
      </c>
      <c r="D54" t="s">
        <v>164</v>
      </c>
      <c r="E54" s="7">
        <v>45804.423773148097</v>
      </c>
    </row>
    <row r="55" spans="1:5" x14ac:dyDescent="0.45">
      <c r="A55" s="6">
        <v>3044770</v>
      </c>
      <c r="B55" t="s">
        <v>88</v>
      </c>
      <c r="C55" t="s">
        <v>118</v>
      </c>
      <c r="D55" t="s">
        <v>164</v>
      </c>
      <c r="E55" s="7">
        <v>45804.431678240697</v>
      </c>
    </row>
    <row r="56" spans="1:5" x14ac:dyDescent="0.45">
      <c r="A56" s="6">
        <v>3044027</v>
      </c>
      <c r="B56" t="s">
        <v>59</v>
      </c>
      <c r="C56" t="s">
        <v>147</v>
      </c>
      <c r="D56" t="s">
        <v>176</v>
      </c>
      <c r="E56" s="7">
        <v>45786.687719907401</v>
      </c>
    </row>
    <row r="57" spans="1:5" x14ac:dyDescent="0.45">
      <c r="A57" s="6">
        <v>3044492</v>
      </c>
      <c r="B57" t="s">
        <v>59</v>
      </c>
      <c r="C57" t="s">
        <v>118</v>
      </c>
      <c r="D57" t="s">
        <v>123</v>
      </c>
      <c r="E57" s="7">
        <v>45797.640914351898</v>
      </c>
    </row>
    <row r="58" spans="1:5" x14ac:dyDescent="0.45">
      <c r="A58" s="6">
        <v>3044494</v>
      </c>
      <c r="B58" t="s">
        <v>59</v>
      </c>
      <c r="C58" t="s">
        <v>118</v>
      </c>
      <c r="D58" t="s">
        <v>123</v>
      </c>
      <c r="E58" s="7">
        <v>45797.644756944399</v>
      </c>
    </row>
    <row r="59" spans="1:5" x14ac:dyDescent="0.45">
      <c r="A59" s="6">
        <v>3044033</v>
      </c>
      <c r="B59" t="s">
        <v>165</v>
      </c>
      <c r="C59" t="s">
        <v>147</v>
      </c>
      <c r="D59" t="s">
        <v>126</v>
      </c>
      <c r="E59" s="7">
        <v>45786.7410185185</v>
      </c>
    </row>
    <row r="60" spans="1:5" x14ac:dyDescent="0.45">
      <c r="A60" s="6">
        <v>3044536</v>
      </c>
      <c r="B60" t="s">
        <v>165</v>
      </c>
      <c r="C60" t="s">
        <v>118</v>
      </c>
      <c r="D60" t="s">
        <v>126</v>
      </c>
      <c r="E60" s="7">
        <v>45798.427418981497</v>
      </c>
    </row>
    <row r="61" spans="1:5" x14ac:dyDescent="0.45">
      <c r="A61" s="6">
        <v>3043769</v>
      </c>
      <c r="B61" t="s">
        <v>138</v>
      </c>
      <c r="C61" t="s">
        <v>147</v>
      </c>
      <c r="D61" t="s">
        <v>131</v>
      </c>
      <c r="E61" s="7">
        <v>45782.579618055599</v>
      </c>
    </row>
    <row r="62" spans="1:5" x14ac:dyDescent="0.45">
      <c r="A62" s="6">
        <v>3044335</v>
      </c>
      <c r="B62" t="s">
        <v>138</v>
      </c>
      <c r="C62" t="s">
        <v>118</v>
      </c>
      <c r="D62" t="s">
        <v>131</v>
      </c>
      <c r="E62" s="7">
        <v>45793.5786689815</v>
      </c>
    </row>
    <row r="63" spans="1:5" x14ac:dyDescent="0.45">
      <c r="A63" s="6">
        <v>3044819</v>
      </c>
      <c r="B63" t="s">
        <v>138</v>
      </c>
      <c r="C63" t="s">
        <v>118</v>
      </c>
      <c r="D63" t="s">
        <v>131</v>
      </c>
      <c r="E63" s="7">
        <v>45804.691597222198</v>
      </c>
    </row>
    <row r="64" spans="1:5" x14ac:dyDescent="0.45">
      <c r="A64" s="6">
        <v>3044204</v>
      </c>
      <c r="B64" t="s">
        <v>68</v>
      </c>
      <c r="C64" t="s">
        <v>147</v>
      </c>
      <c r="D64" t="s">
        <v>67</v>
      </c>
      <c r="E64" s="7">
        <v>45791.496805555602</v>
      </c>
    </row>
    <row r="65" spans="1:5" x14ac:dyDescent="0.45">
      <c r="A65" s="6">
        <v>3045000</v>
      </c>
      <c r="B65" t="s">
        <v>68</v>
      </c>
      <c r="C65" t="s">
        <v>118</v>
      </c>
      <c r="D65" t="s">
        <v>67</v>
      </c>
      <c r="E65" s="7">
        <v>45807.663043981498</v>
      </c>
    </row>
    <row r="66" spans="1:5" x14ac:dyDescent="0.45">
      <c r="A66" s="6">
        <v>3043851</v>
      </c>
      <c r="B66" t="s">
        <v>91</v>
      </c>
      <c r="C66" t="s">
        <v>118</v>
      </c>
      <c r="D66" t="s">
        <v>132</v>
      </c>
      <c r="E66" s="7">
        <v>45783.6738078704</v>
      </c>
    </row>
    <row r="67" spans="1:5" x14ac:dyDescent="0.45">
      <c r="A67" s="6">
        <v>3044440</v>
      </c>
      <c r="B67" t="s">
        <v>75</v>
      </c>
      <c r="C67" t="s">
        <v>147</v>
      </c>
      <c r="D67" t="s">
        <v>74</v>
      </c>
      <c r="E67" s="7">
        <v>45796.665335648097</v>
      </c>
    </row>
    <row r="68" spans="1:5" x14ac:dyDescent="0.45">
      <c r="A68" s="6">
        <v>3044537</v>
      </c>
      <c r="B68" t="s">
        <v>75</v>
      </c>
      <c r="C68" t="s">
        <v>118</v>
      </c>
      <c r="D68" t="s">
        <v>74</v>
      </c>
      <c r="E68" s="7">
        <v>45798.447361111103</v>
      </c>
    </row>
    <row r="69" spans="1:5" x14ac:dyDescent="0.45">
      <c r="A69" s="6">
        <v>3044936</v>
      </c>
      <c r="B69" t="s">
        <v>75</v>
      </c>
      <c r="C69" t="s">
        <v>118</v>
      </c>
      <c r="D69" t="s">
        <v>74</v>
      </c>
      <c r="E69" s="7">
        <v>45806.580069444397</v>
      </c>
    </row>
    <row r="70" spans="1:5" x14ac:dyDescent="0.45">
      <c r="A70" s="6">
        <v>3044219</v>
      </c>
      <c r="B70" t="s">
        <v>92</v>
      </c>
      <c r="C70" t="s">
        <v>118</v>
      </c>
      <c r="D70" t="s">
        <v>137</v>
      </c>
      <c r="E70" s="7">
        <v>45791.634467592601</v>
      </c>
    </row>
    <row r="71" spans="1:5" x14ac:dyDescent="0.45">
      <c r="A71" s="6">
        <v>3043589</v>
      </c>
      <c r="B71" t="s">
        <v>93</v>
      </c>
      <c r="C71" t="s">
        <v>118</v>
      </c>
      <c r="D71" t="s">
        <v>58</v>
      </c>
      <c r="E71" s="7">
        <v>45778.447569444397</v>
      </c>
    </row>
    <row r="72" spans="1:5" x14ac:dyDescent="0.45">
      <c r="A72" s="6">
        <v>3043664</v>
      </c>
      <c r="B72" t="s">
        <v>93</v>
      </c>
      <c r="C72" t="s">
        <v>118</v>
      </c>
      <c r="D72" t="s">
        <v>58</v>
      </c>
      <c r="E72" s="7">
        <v>45779.510358796302</v>
      </c>
    </row>
    <row r="73" spans="1:5" x14ac:dyDescent="0.45">
      <c r="A73" s="6">
        <v>3043665</v>
      </c>
      <c r="B73" t="s">
        <v>93</v>
      </c>
      <c r="C73" t="s">
        <v>118</v>
      </c>
      <c r="D73" t="s">
        <v>58</v>
      </c>
      <c r="E73" s="7">
        <v>45779.510972222197</v>
      </c>
    </row>
    <row r="74" spans="1:5" x14ac:dyDescent="0.45">
      <c r="A74" s="6">
        <v>3043679</v>
      </c>
      <c r="B74" t="s">
        <v>93</v>
      </c>
      <c r="C74" t="s">
        <v>118</v>
      </c>
      <c r="D74" t="s">
        <v>58</v>
      </c>
      <c r="E74" s="7">
        <v>45779.581574074102</v>
      </c>
    </row>
    <row r="75" spans="1:5" x14ac:dyDescent="0.45">
      <c r="A75" s="6">
        <v>3043694</v>
      </c>
      <c r="B75" t="s">
        <v>93</v>
      </c>
      <c r="C75" t="s">
        <v>118</v>
      </c>
      <c r="D75" t="s">
        <v>58</v>
      </c>
      <c r="E75" s="7">
        <v>45779.633229166699</v>
      </c>
    </row>
    <row r="76" spans="1:5" x14ac:dyDescent="0.45">
      <c r="A76" s="6">
        <v>3043695</v>
      </c>
      <c r="B76" t="s">
        <v>93</v>
      </c>
      <c r="C76" t="s">
        <v>118</v>
      </c>
      <c r="D76" t="s">
        <v>58</v>
      </c>
      <c r="E76" s="7">
        <v>45779.6341203704</v>
      </c>
    </row>
    <row r="77" spans="1:5" x14ac:dyDescent="0.45">
      <c r="A77" s="6">
        <v>3043696</v>
      </c>
      <c r="B77" t="s">
        <v>93</v>
      </c>
      <c r="C77" t="s">
        <v>118</v>
      </c>
      <c r="D77" t="s">
        <v>58</v>
      </c>
      <c r="E77" s="7">
        <v>45779.635891203703</v>
      </c>
    </row>
    <row r="78" spans="1:5" x14ac:dyDescent="0.45">
      <c r="A78" s="6">
        <v>3044973</v>
      </c>
      <c r="B78" t="s">
        <v>93</v>
      </c>
      <c r="C78" t="s">
        <v>118</v>
      </c>
      <c r="D78" t="s">
        <v>58</v>
      </c>
      <c r="E78" s="7">
        <v>45807.425844907397</v>
      </c>
    </row>
    <row r="79" spans="1:5" x14ac:dyDescent="0.45">
      <c r="A79" s="6">
        <v>3044996</v>
      </c>
      <c r="B79" t="s">
        <v>93</v>
      </c>
      <c r="C79" t="s">
        <v>118</v>
      </c>
      <c r="D79" t="s">
        <v>58</v>
      </c>
      <c r="E79" s="7">
        <v>45807.653622685197</v>
      </c>
    </row>
    <row r="80" spans="1:5" x14ac:dyDescent="0.45">
      <c r="A80" s="6">
        <v>3043934</v>
      </c>
      <c r="B80" t="s">
        <v>78</v>
      </c>
      <c r="C80" t="s">
        <v>147</v>
      </c>
      <c r="D80" t="s">
        <v>77</v>
      </c>
      <c r="E80" s="7">
        <v>45785.445937500001</v>
      </c>
    </row>
    <row r="81" spans="1:5" x14ac:dyDescent="0.45">
      <c r="A81" s="6">
        <v>3044614</v>
      </c>
      <c r="B81" t="s">
        <v>78</v>
      </c>
      <c r="C81" t="s">
        <v>118</v>
      </c>
      <c r="D81" t="s">
        <v>77</v>
      </c>
      <c r="E81" s="7">
        <v>45799.455590277801</v>
      </c>
    </row>
    <row r="82" spans="1:5" x14ac:dyDescent="0.45">
      <c r="A82" s="6">
        <v>3044927</v>
      </c>
      <c r="B82" t="s">
        <v>78</v>
      </c>
      <c r="C82" t="s">
        <v>118</v>
      </c>
      <c r="D82" t="s">
        <v>77</v>
      </c>
      <c r="E82" s="7">
        <v>45806.489525463003</v>
      </c>
    </row>
    <row r="83" spans="1:5" x14ac:dyDescent="0.45">
      <c r="A83" s="6">
        <v>3044162</v>
      </c>
      <c r="B83" t="s">
        <v>95</v>
      </c>
      <c r="C83" t="s">
        <v>118</v>
      </c>
      <c r="D83" t="s">
        <v>144</v>
      </c>
      <c r="E83" s="7">
        <v>45790.6333564815</v>
      </c>
    </row>
    <row r="84" spans="1:5" x14ac:dyDescent="0.45">
      <c r="A84" s="6">
        <v>3044893</v>
      </c>
      <c r="B84" t="s">
        <v>95</v>
      </c>
      <c r="C84" t="s">
        <v>118</v>
      </c>
      <c r="D84" t="s">
        <v>144</v>
      </c>
      <c r="E84" s="7">
        <v>45805.677326388897</v>
      </c>
    </row>
    <row r="85" spans="1:5" x14ac:dyDescent="0.45">
      <c r="A85" s="6">
        <v>3045034</v>
      </c>
      <c r="B85" t="s">
        <v>96</v>
      </c>
      <c r="C85" t="s">
        <v>118</v>
      </c>
      <c r="D85" t="s">
        <v>140</v>
      </c>
      <c r="E85" s="7">
        <v>45808.512118055602</v>
      </c>
    </row>
    <row r="86" spans="1:5" ht="14.65" thickBot="1" x14ac:dyDescent="0.5">
      <c r="A86" s="8">
        <v>3045036</v>
      </c>
      <c r="B86" s="9" t="s">
        <v>96</v>
      </c>
      <c r="C86" s="9" t="s">
        <v>118</v>
      </c>
      <c r="D86" s="9" t="s">
        <v>140</v>
      </c>
      <c r="E86" s="10">
        <v>45808.528449074103</v>
      </c>
    </row>
    <row r="87" spans="1:5" x14ac:dyDescent="0.45">
      <c r="A87" s="21"/>
      <c r="E87" s="22"/>
    </row>
  </sheetData>
  <mergeCells count="2">
    <mergeCell ref="A27:E27"/>
    <mergeCell ref="G27:K2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E94A-08CC-4D60-94D3-B32167E25D6C}">
  <sheetPr codeName="Sheet12"/>
  <dimension ref="A1:F22"/>
  <sheetViews>
    <sheetView workbookViewId="0">
      <selection activeCell="C26" sqref="C26"/>
    </sheetView>
  </sheetViews>
  <sheetFormatPr defaultRowHeight="14.25" x14ac:dyDescent="0.45"/>
  <cols>
    <col min="1" max="1" width="10.3984375" bestFit="1" customWidth="1"/>
    <col min="3" max="3" width="12.86328125" bestFit="1" customWidth="1"/>
    <col min="6" max="6" width="12.73046875" bestFit="1" customWidth="1"/>
  </cols>
  <sheetData>
    <row r="1" spans="1:6" x14ac:dyDescent="0.45">
      <c r="A1" t="s">
        <v>23</v>
      </c>
      <c r="B1" t="s">
        <v>97</v>
      </c>
      <c r="C1" t="s">
        <v>167</v>
      </c>
      <c r="D1" t="s">
        <v>99</v>
      </c>
      <c r="E1" t="s">
        <v>18</v>
      </c>
      <c r="F1" t="s">
        <v>21</v>
      </c>
    </row>
    <row r="2" spans="1:6" x14ac:dyDescent="0.45">
      <c r="A2" s="1">
        <v>46143</v>
      </c>
      <c r="B2">
        <v>6</v>
      </c>
      <c r="C2">
        <v>9</v>
      </c>
      <c r="D2" s="2">
        <f>SUM(B2/C2)</f>
        <v>0.66666666666666663</v>
      </c>
      <c r="E2" s="2">
        <v>0.8</v>
      </c>
    </row>
    <row r="3" spans="1:6" x14ac:dyDescent="0.45">
      <c r="A3" s="1">
        <v>46146</v>
      </c>
      <c r="B3">
        <v>6</v>
      </c>
      <c r="C3">
        <v>9</v>
      </c>
      <c r="D3" s="2">
        <f t="shared" ref="D3:D21" si="0">SUM(B3/C3)</f>
        <v>0.66666666666666663</v>
      </c>
      <c r="E3" s="2">
        <v>0.8</v>
      </c>
    </row>
    <row r="4" spans="1:6" x14ac:dyDescent="0.45">
      <c r="A4" s="1">
        <v>46147</v>
      </c>
      <c r="B4">
        <v>6</v>
      </c>
      <c r="C4">
        <v>9</v>
      </c>
      <c r="D4" s="2">
        <f t="shared" si="0"/>
        <v>0.66666666666666663</v>
      </c>
      <c r="E4" s="2">
        <v>0.8</v>
      </c>
    </row>
    <row r="5" spans="1:6" x14ac:dyDescent="0.45">
      <c r="A5" s="1">
        <v>46148</v>
      </c>
      <c r="B5">
        <v>7</v>
      </c>
      <c r="C5">
        <v>9</v>
      </c>
      <c r="D5" s="2">
        <f t="shared" si="0"/>
        <v>0.77777777777777779</v>
      </c>
      <c r="E5" s="2">
        <v>0.8</v>
      </c>
    </row>
    <row r="6" spans="1:6" x14ac:dyDescent="0.45">
      <c r="A6" s="1">
        <v>46149</v>
      </c>
      <c r="B6">
        <v>6</v>
      </c>
      <c r="C6">
        <v>9</v>
      </c>
      <c r="D6" s="2">
        <f t="shared" si="0"/>
        <v>0.66666666666666663</v>
      </c>
      <c r="E6" s="2">
        <v>0.8</v>
      </c>
    </row>
    <row r="7" spans="1:6" x14ac:dyDescent="0.45">
      <c r="A7" s="1">
        <v>46150</v>
      </c>
      <c r="B7">
        <v>8</v>
      </c>
      <c r="C7">
        <v>9</v>
      </c>
      <c r="D7" s="2">
        <f t="shared" si="0"/>
        <v>0.88888888888888884</v>
      </c>
      <c r="E7" s="2">
        <v>0.8</v>
      </c>
      <c r="F7">
        <v>1</v>
      </c>
    </row>
    <row r="8" spans="1:6" x14ac:dyDescent="0.45">
      <c r="A8" s="1">
        <v>46153</v>
      </c>
      <c r="B8">
        <v>8</v>
      </c>
      <c r="C8">
        <v>13</v>
      </c>
      <c r="D8" s="2">
        <f t="shared" si="0"/>
        <v>0.61538461538461542</v>
      </c>
      <c r="E8" s="2">
        <v>0.8</v>
      </c>
    </row>
    <row r="9" spans="1:6" x14ac:dyDescent="0.45">
      <c r="A9" s="1">
        <v>46154</v>
      </c>
      <c r="B9">
        <v>9</v>
      </c>
      <c r="C9">
        <v>11</v>
      </c>
      <c r="D9" s="2">
        <f t="shared" si="0"/>
        <v>0.81818181818181823</v>
      </c>
      <c r="E9" s="2">
        <v>0.8</v>
      </c>
      <c r="F9">
        <v>1</v>
      </c>
    </row>
    <row r="10" spans="1:6" x14ac:dyDescent="0.45">
      <c r="A10" s="1">
        <v>46155</v>
      </c>
      <c r="B10">
        <v>10</v>
      </c>
      <c r="C10">
        <v>13</v>
      </c>
      <c r="D10" s="2">
        <f t="shared" si="0"/>
        <v>0.76923076923076927</v>
      </c>
      <c r="E10" s="2">
        <v>0.8</v>
      </c>
    </row>
    <row r="11" spans="1:6" x14ac:dyDescent="0.45">
      <c r="A11" s="1">
        <v>46156</v>
      </c>
      <c r="B11">
        <v>10</v>
      </c>
      <c r="C11">
        <v>13</v>
      </c>
      <c r="D11" s="2">
        <f t="shared" si="0"/>
        <v>0.76923076923076927</v>
      </c>
      <c r="E11" s="2">
        <v>0.8</v>
      </c>
    </row>
    <row r="12" spans="1:6" x14ac:dyDescent="0.45">
      <c r="A12" s="1">
        <v>46157</v>
      </c>
      <c r="B12">
        <v>11</v>
      </c>
      <c r="C12">
        <v>13</v>
      </c>
      <c r="D12" s="2">
        <f t="shared" si="0"/>
        <v>0.84615384615384615</v>
      </c>
      <c r="E12" s="2">
        <v>0.8</v>
      </c>
      <c r="F12">
        <v>1</v>
      </c>
    </row>
    <row r="13" spans="1:6" x14ac:dyDescent="0.45">
      <c r="A13" s="1">
        <v>46160</v>
      </c>
      <c r="B13">
        <v>10</v>
      </c>
      <c r="C13">
        <v>13</v>
      </c>
      <c r="D13" s="2">
        <f t="shared" si="0"/>
        <v>0.76923076923076927</v>
      </c>
      <c r="E13" s="2">
        <v>0.8</v>
      </c>
    </row>
    <row r="14" spans="1:6" x14ac:dyDescent="0.45">
      <c r="A14" s="1">
        <v>46161</v>
      </c>
      <c r="B14">
        <v>11</v>
      </c>
      <c r="C14">
        <v>13</v>
      </c>
      <c r="D14" s="2">
        <f t="shared" si="0"/>
        <v>0.84615384615384615</v>
      </c>
      <c r="E14" s="2">
        <v>0.8</v>
      </c>
      <c r="F14">
        <v>1</v>
      </c>
    </row>
    <row r="15" spans="1:6" x14ac:dyDescent="0.45">
      <c r="A15" s="1">
        <v>46162</v>
      </c>
      <c r="B15">
        <v>11</v>
      </c>
      <c r="C15">
        <v>13</v>
      </c>
      <c r="D15" s="2">
        <f t="shared" si="0"/>
        <v>0.84615384615384615</v>
      </c>
      <c r="E15" s="2">
        <v>0.8</v>
      </c>
      <c r="F15">
        <v>1</v>
      </c>
    </row>
    <row r="16" spans="1:6" x14ac:dyDescent="0.45">
      <c r="A16" s="1">
        <v>46163</v>
      </c>
      <c r="B16">
        <v>11</v>
      </c>
      <c r="C16">
        <v>13</v>
      </c>
      <c r="D16" s="2">
        <f t="shared" si="0"/>
        <v>0.84615384615384615</v>
      </c>
      <c r="E16" s="2">
        <v>0.8</v>
      </c>
      <c r="F16">
        <v>1</v>
      </c>
    </row>
    <row r="17" spans="1:6" x14ac:dyDescent="0.45">
      <c r="A17" s="1">
        <v>46164</v>
      </c>
      <c r="B17">
        <v>12</v>
      </c>
      <c r="C17">
        <v>13</v>
      </c>
      <c r="D17" s="2">
        <f t="shared" si="0"/>
        <v>0.92307692307692313</v>
      </c>
      <c r="E17" s="2">
        <v>0.8</v>
      </c>
      <c r="F17">
        <v>1</v>
      </c>
    </row>
    <row r="18" spans="1:6" x14ac:dyDescent="0.45">
      <c r="A18" s="1">
        <v>46168</v>
      </c>
      <c r="B18">
        <v>9</v>
      </c>
      <c r="C18">
        <v>11</v>
      </c>
      <c r="D18" s="2">
        <f t="shared" si="0"/>
        <v>0.81818181818181823</v>
      </c>
      <c r="E18" s="2">
        <v>0.8</v>
      </c>
    </row>
    <row r="19" spans="1:6" x14ac:dyDescent="0.45">
      <c r="A19" s="1">
        <v>46169</v>
      </c>
      <c r="B19">
        <v>11</v>
      </c>
      <c r="C19">
        <v>11</v>
      </c>
      <c r="D19" s="2">
        <f t="shared" si="0"/>
        <v>1</v>
      </c>
      <c r="E19" s="2">
        <v>0.8</v>
      </c>
      <c r="F19">
        <v>1</v>
      </c>
    </row>
    <row r="20" spans="1:6" x14ac:dyDescent="0.45">
      <c r="A20" s="1">
        <v>46170</v>
      </c>
      <c r="B20">
        <v>11</v>
      </c>
      <c r="C20">
        <v>11</v>
      </c>
      <c r="D20" s="2">
        <f t="shared" si="0"/>
        <v>1</v>
      </c>
      <c r="E20" s="2">
        <v>0.8</v>
      </c>
      <c r="F20">
        <v>1</v>
      </c>
    </row>
    <row r="21" spans="1:6" x14ac:dyDescent="0.45">
      <c r="A21" s="1">
        <v>46171</v>
      </c>
      <c r="B21">
        <v>10</v>
      </c>
      <c r="C21">
        <v>12</v>
      </c>
      <c r="D21" s="2">
        <f t="shared" si="0"/>
        <v>0.83333333333333337</v>
      </c>
      <c r="E21" s="2">
        <v>0.8</v>
      </c>
      <c r="F21">
        <v>1</v>
      </c>
    </row>
    <row r="22" spans="1:6" x14ac:dyDescent="0.45">
      <c r="A22" t="s">
        <v>20</v>
      </c>
      <c r="B22" s="20">
        <f>AVERAGE(B2:B21)</f>
        <v>9.15</v>
      </c>
      <c r="C22" s="20">
        <f>AVERAGE(C2:C21)</f>
        <v>11.35</v>
      </c>
      <c r="D22" s="2">
        <f>B22/C22</f>
        <v>0.80616740088105732</v>
      </c>
      <c r="E22" s="2"/>
      <c r="F22">
        <f>COUNT(F2:F21)</f>
        <v>10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CC2B-8622-49EC-8221-12598B7251D6}">
  <sheetPr codeName="Sheet13"/>
  <dimension ref="A1:K81"/>
  <sheetViews>
    <sheetView workbookViewId="0">
      <selection activeCell="D22" sqref="D22"/>
    </sheetView>
  </sheetViews>
  <sheetFormatPr defaultRowHeight="14.25" x14ac:dyDescent="0.45"/>
  <cols>
    <col min="1" max="1" width="15.265625" bestFit="1" customWidth="1"/>
    <col min="2" max="2" width="14.59765625" bestFit="1" customWidth="1"/>
    <col min="3" max="3" width="20.1328125" bestFit="1" customWidth="1"/>
    <col min="4" max="4" width="20.73046875" bestFit="1" customWidth="1"/>
    <col min="5" max="5" width="14.86328125" bestFit="1" customWidth="1"/>
    <col min="7" max="7" width="9.73046875" bestFit="1" customWidth="1"/>
    <col min="8" max="8" width="19.86328125" bestFit="1" customWidth="1"/>
    <col min="9" max="9" width="10.73046875" bestFit="1" customWidth="1"/>
    <col min="10" max="10" width="13.1328125" bestFit="1" customWidth="1"/>
    <col min="11" max="11" width="21.86328125" bestFit="1" customWidth="1"/>
  </cols>
  <sheetData>
    <row r="1" spans="1:5" x14ac:dyDescent="0.45">
      <c r="A1" t="s">
        <v>25</v>
      </c>
      <c r="B1" s="3" t="s">
        <v>146</v>
      </c>
      <c r="C1" s="3" t="s">
        <v>81</v>
      </c>
      <c r="D1" s="3" t="s">
        <v>100</v>
      </c>
      <c r="E1" s="3" t="s">
        <v>101</v>
      </c>
    </row>
    <row r="2" spans="1:5" x14ac:dyDescent="0.45">
      <c r="A2" t="s">
        <v>82</v>
      </c>
      <c r="B2" s="3">
        <v>4</v>
      </c>
      <c r="C2" s="3">
        <v>0</v>
      </c>
      <c r="D2" s="3">
        <v>10</v>
      </c>
      <c r="E2" s="3"/>
    </row>
    <row r="3" spans="1:5" x14ac:dyDescent="0.45">
      <c r="A3" t="s">
        <v>37</v>
      </c>
      <c r="B3" s="3">
        <v>0</v>
      </c>
      <c r="C3" s="3">
        <v>1</v>
      </c>
      <c r="D3" s="3">
        <v>3</v>
      </c>
      <c r="E3" s="3"/>
    </row>
    <row r="4" spans="1:5" x14ac:dyDescent="0.45">
      <c r="A4" t="s">
        <v>83</v>
      </c>
      <c r="B4" s="3">
        <v>1</v>
      </c>
      <c r="C4" s="3">
        <v>1</v>
      </c>
      <c r="D4" s="3">
        <v>2</v>
      </c>
      <c r="E4" s="3"/>
    </row>
    <row r="5" spans="1:5" x14ac:dyDescent="0.45">
      <c r="A5" t="s">
        <v>84</v>
      </c>
      <c r="B5" s="3">
        <v>6</v>
      </c>
      <c r="C5" s="3">
        <v>0</v>
      </c>
      <c r="D5" s="3">
        <v>7</v>
      </c>
      <c r="E5" s="3">
        <v>1</v>
      </c>
    </row>
    <row r="6" spans="1:5" x14ac:dyDescent="0.45">
      <c r="A6" t="s">
        <v>46</v>
      </c>
      <c r="B6" s="3">
        <v>0</v>
      </c>
      <c r="C6" s="3">
        <v>0</v>
      </c>
      <c r="D6" s="3">
        <v>2</v>
      </c>
      <c r="E6" s="3"/>
    </row>
    <row r="7" spans="1:5" x14ac:dyDescent="0.45">
      <c r="A7" t="s">
        <v>85</v>
      </c>
      <c r="B7" s="3">
        <v>1</v>
      </c>
      <c r="C7" s="3">
        <v>1</v>
      </c>
      <c r="D7" s="3">
        <v>23</v>
      </c>
      <c r="E7" s="3"/>
    </row>
    <row r="8" spans="1:5" x14ac:dyDescent="0.45">
      <c r="A8" t="s">
        <v>86</v>
      </c>
      <c r="B8" s="3">
        <v>4</v>
      </c>
      <c r="C8" s="3">
        <v>1</v>
      </c>
      <c r="D8" s="3">
        <v>4</v>
      </c>
      <c r="E8" s="3"/>
    </row>
    <row r="9" spans="1:5" x14ac:dyDescent="0.45">
      <c r="A9" t="s">
        <v>87</v>
      </c>
      <c r="B9" s="3">
        <v>2</v>
      </c>
      <c r="C9" s="3">
        <v>0</v>
      </c>
      <c r="D9" s="3">
        <v>17</v>
      </c>
      <c r="E9" s="3"/>
    </row>
    <row r="10" spans="1:5" x14ac:dyDescent="0.45">
      <c r="A10" t="s">
        <v>54</v>
      </c>
      <c r="B10" s="3">
        <v>2</v>
      </c>
      <c r="C10" s="3">
        <v>1</v>
      </c>
      <c r="D10" s="3">
        <v>5</v>
      </c>
      <c r="E10" s="3"/>
    </row>
    <row r="11" spans="1:5" x14ac:dyDescent="0.45">
      <c r="A11" t="s">
        <v>88</v>
      </c>
      <c r="B11" s="3">
        <v>3</v>
      </c>
      <c r="C11" s="3">
        <v>0</v>
      </c>
      <c r="D11" s="3">
        <v>13</v>
      </c>
      <c r="E11" s="3"/>
    </row>
    <row r="12" spans="1:5" x14ac:dyDescent="0.45">
      <c r="A12" t="s">
        <v>89</v>
      </c>
      <c r="B12" s="3">
        <v>1</v>
      </c>
      <c r="C12" s="3">
        <v>1</v>
      </c>
      <c r="D12" s="3">
        <v>3</v>
      </c>
      <c r="E12" s="3"/>
    </row>
    <row r="13" spans="1:5" x14ac:dyDescent="0.45">
      <c r="A13" t="s">
        <v>59</v>
      </c>
      <c r="B13" s="3">
        <v>4</v>
      </c>
      <c r="C13" s="3">
        <v>1</v>
      </c>
      <c r="D13" s="3">
        <v>5</v>
      </c>
      <c r="E13" s="3"/>
    </row>
    <row r="14" spans="1:5" x14ac:dyDescent="0.45">
      <c r="A14" t="s">
        <v>90</v>
      </c>
      <c r="B14" s="3">
        <v>5</v>
      </c>
      <c r="C14" s="3">
        <v>0</v>
      </c>
      <c r="D14" s="3">
        <v>7</v>
      </c>
      <c r="E14" s="3"/>
    </row>
    <row r="15" spans="1:5" x14ac:dyDescent="0.45">
      <c r="A15" t="s">
        <v>66</v>
      </c>
      <c r="B15" s="3">
        <v>0</v>
      </c>
      <c r="C15" s="3">
        <v>0</v>
      </c>
      <c r="D15" s="3">
        <v>2</v>
      </c>
      <c r="E15" s="3"/>
    </row>
    <row r="16" spans="1:5" x14ac:dyDescent="0.45">
      <c r="A16" t="s">
        <v>68</v>
      </c>
      <c r="B16" s="3">
        <v>2</v>
      </c>
      <c r="C16" s="3">
        <v>0</v>
      </c>
      <c r="D16" s="3">
        <v>10</v>
      </c>
      <c r="E16" s="3"/>
    </row>
    <row r="17" spans="1:11" x14ac:dyDescent="0.45">
      <c r="A17" t="s">
        <v>91</v>
      </c>
      <c r="B17" s="3">
        <v>3</v>
      </c>
      <c r="C17" s="3">
        <v>1</v>
      </c>
      <c r="D17" s="3">
        <v>3</v>
      </c>
      <c r="E17" s="3">
        <v>1</v>
      </c>
    </row>
    <row r="18" spans="1:11" x14ac:dyDescent="0.45">
      <c r="A18" t="s">
        <v>75</v>
      </c>
      <c r="B18" s="3">
        <v>4</v>
      </c>
      <c r="C18" s="3">
        <v>1</v>
      </c>
      <c r="D18" s="3">
        <v>18</v>
      </c>
      <c r="E18" s="3"/>
    </row>
    <row r="19" spans="1:11" x14ac:dyDescent="0.45">
      <c r="A19" t="s">
        <v>92</v>
      </c>
      <c r="B19" s="3">
        <v>1</v>
      </c>
      <c r="C19" s="3">
        <v>1</v>
      </c>
      <c r="D19" s="3">
        <v>5</v>
      </c>
      <c r="E19" s="3"/>
    </row>
    <row r="20" spans="1:11" x14ac:dyDescent="0.45">
      <c r="A20" t="s">
        <v>93</v>
      </c>
      <c r="B20" s="3">
        <v>6</v>
      </c>
      <c r="C20" s="3">
        <v>0</v>
      </c>
      <c r="D20" s="3">
        <v>13</v>
      </c>
      <c r="E20" s="3"/>
    </row>
    <row r="21" spans="1:11" x14ac:dyDescent="0.45">
      <c r="A21" t="s">
        <v>78</v>
      </c>
      <c r="B21" s="3">
        <v>0</v>
      </c>
      <c r="C21" s="3">
        <v>0</v>
      </c>
      <c r="D21" s="3">
        <v>2</v>
      </c>
      <c r="E21" s="3"/>
    </row>
    <row r="22" spans="1:11" x14ac:dyDescent="0.45">
      <c r="A22" t="s">
        <v>94</v>
      </c>
      <c r="B22" s="3">
        <v>3</v>
      </c>
      <c r="C22" s="3">
        <v>0</v>
      </c>
      <c r="D22" s="3">
        <v>0</v>
      </c>
      <c r="E22" s="3"/>
    </row>
    <row r="23" spans="1:11" x14ac:dyDescent="0.45">
      <c r="A23" t="s">
        <v>95</v>
      </c>
      <c r="B23" s="3">
        <v>1</v>
      </c>
      <c r="C23" s="3">
        <v>0</v>
      </c>
      <c r="D23" s="3">
        <v>5</v>
      </c>
      <c r="E23" s="3"/>
    </row>
    <row r="24" spans="1:11" x14ac:dyDescent="0.45">
      <c r="A24" t="s">
        <v>96</v>
      </c>
      <c r="B24" s="3">
        <v>1</v>
      </c>
      <c r="C24" s="3">
        <v>1</v>
      </c>
      <c r="D24" s="3">
        <v>12</v>
      </c>
      <c r="E24" s="3"/>
    </row>
    <row r="25" spans="1:11" x14ac:dyDescent="0.45">
      <c r="A25" t="s">
        <v>16</v>
      </c>
      <c r="B25" s="3">
        <f>SUM(B2:B24)</f>
        <v>54</v>
      </c>
      <c r="C25" s="3">
        <f>SUM(C2:C24)</f>
        <v>11</v>
      </c>
      <c r="D25" s="3">
        <f t="shared" ref="D25:E25" si="0">SUM(D2:D24)</f>
        <v>171</v>
      </c>
      <c r="E25" s="3">
        <f t="shared" si="0"/>
        <v>2</v>
      </c>
    </row>
    <row r="26" spans="1:11" ht="14.65" thickBot="1" x14ac:dyDescent="0.5">
      <c r="A26" s="9"/>
      <c r="B26" s="9"/>
      <c r="C26" s="9"/>
      <c r="D26" s="9"/>
      <c r="E26" s="9"/>
    </row>
    <row r="27" spans="1:11" x14ac:dyDescent="0.45">
      <c r="A27" s="26" t="s">
        <v>102</v>
      </c>
      <c r="B27" s="27"/>
      <c r="C27" s="27"/>
      <c r="D27" s="27"/>
      <c r="E27" s="28"/>
      <c r="G27" s="26" t="s">
        <v>22</v>
      </c>
      <c r="H27" s="27"/>
      <c r="I27" s="27"/>
      <c r="J27" s="27"/>
      <c r="K27" s="28"/>
    </row>
    <row r="28" spans="1:11" x14ac:dyDescent="0.45">
      <c r="A28" s="4" t="s">
        <v>103</v>
      </c>
      <c r="B28" t="s">
        <v>104</v>
      </c>
      <c r="C28" t="s">
        <v>106</v>
      </c>
      <c r="D28" t="s">
        <v>107</v>
      </c>
      <c r="E28" s="5" t="s">
        <v>177</v>
      </c>
      <c r="G28" s="11" t="s">
        <v>23</v>
      </c>
      <c r="H28" s="3" t="s">
        <v>24</v>
      </c>
      <c r="I28" s="3" t="s">
        <v>25</v>
      </c>
      <c r="J28" s="3" t="s">
        <v>26</v>
      </c>
      <c r="K28" s="12" t="s">
        <v>27</v>
      </c>
    </row>
    <row r="29" spans="1:11" x14ac:dyDescent="0.45">
      <c r="A29" s="6">
        <v>3046014</v>
      </c>
      <c r="B29" t="s">
        <v>108</v>
      </c>
      <c r="C29" t="s">
        <v>28</v>
      </c>
      <c r="D29" s="22">
        <v>45831.376863425903</v>
      </c>
      <c r="E29" s="5" t="s">
        <v>178</v>
      </c>
      <c r="G29" s="13">
        <v>45771</v>
      </c>
      <c r="H29" t="s">
        <v>36</v>
      </c>
      <c r="I29" t="s">
        <v>37</v>
      </c>
      <c r="J29" t="s">
        <v>148</v>
      </c>
      <c r="K29" s="5" t="s">
        <v>133</v>
      </c>
    </row>
    <row r="30" spans="1:11" x14ac:dyDescent="0.45">
      <c r="A30" s="6">
        <v>3045940</v>
      </c>
      <c r="B30" t="s">
        <v>108</v>
      </c>
      <c r="C30" t="s">
        <v>28</v>
      </c>
      <c r="D30" s="22">
        <v>45826.736527777801</v>
      </c>
      <c r="E30" s="5" t="s">
        <v>178</v>
      </c>
      <c r="G30" s="13">
        <v>45768</v>
      </c>
      <c r="H30" t="s">
        <v>112</v>
      </c>
      <c r="I30" t="s">
        <v>83</v>
      </c>
      <c r="J30" t="s">
        <v>148</v>
      </c>
      <c r="K30" s="5" t="s">
        <v>61</v>
      </c>
    </row>
    <row r="31" spans="1:11" x14ac:dyDescent="0.45">
      <c r="A31" s="6">
        <v>3045346</v>
      </c>
      <c r="B31" t="s">
        <v>108</v>
      </c>
      <c r="C31" t="s">
        <v>179</v>
      </c>
      <c r="D31" s="22">
        <v>45814.673125000001</v>
      </c>
      <c r="E31" s="5" t="s">
        <v>178</v>
      </c>
      <c r="G31" s="13">
        <v>45775</v>
      </c>
      <c r="H31" t="s">
        <v>53</v>
      </c>
      <c r="I31" t="s">
        <v>54</v>
      </c>
      <c r="J31" t="s">
        <v>42</v>
      </c>
      <c r="K31" s="5" t="s">
        <v>48</v>
      </c>
    </row>
    <row r="32" spans="1:11" x14ac:dyDescent="0.45">
      <c r="A32" s="6">
        <v>3045074</v>
      </c>
      <c r="B32" t="s">
        <v>108</v>
      </c>
      <c r="C32" t="s">
        <v>28</v>
      </c>
      <c r="D32" s="22">
        <v>45810.517372685201</v>
      </c>
      <c r="E32" s="5" t="s">
        <v>178</v>
      </c>
      <c r="G32" s="13">
        <v>45764</v>
      </c>
      <c r="H32" t="s">
        <v>55</v>
      </c>
      <c r="I32" t="s">
        <v>56</v>
      </c>
      <c r="J32" t="s">
        <v>148</v>
      </c>
      <c r="K32" s="5" t="s">
        <v>43</v>
      </c>
    </row>
    <row r="33" spans="1:11" x14ac:dyDescent="0.45">
      <c r="A33" s="6">
        <v>3045478</v>
      </c>
      <c r="B33" t="s">
        <v>83</v>
      </c>
      <c r="C33" t="s">
        <v>112</v>
      </c>
      <c r="D33" s="22">
        <v>45818.511666666702</v>
      </c>
      <c r="E33" s="5" t="s">
        <v>178</v>
      </c>
      <c r="G33" s="13">
        <v>45769</v>
      </c>
      <c r="H33" t="s">
        <v>169</v>
      </c>
      <c r="I33" t="s">
        <v>89</v>
      </c>
      <c r="J33" t="s">
        <v>148</v>
      </c>
      <c r="K33" s="5" t="s">
        <v>33</v>
      </c>
    </row>
    <row r="34" spans="1:11" x14ac:dyDescent="0.45">
      <c r="A34" s="6">
        <v>3046396</v>
      </c>
      <c r="B34" t="s">
        <v>160</v>
      </c>
      <c r="C34" t="s">
        <v>163</v>
      </c>
      <c r="D34" s="22">
        <v>45838.517719907402</v>
      </c>
      <c r="E34" s="5" t="s">
        <v>178</v>
      </c>
      <c r="G34" s="13">
        <v>45748</v>
      </c>
      <c r="H34" t="s">
        <v>123</v>
      </c>
      <c r="I34" t="s">
        <v>59</v>
      </c>
      <c r="J34" t="s">
        <v>156</v>
      </c>
      <c r="K34" s="5" t="s">
        <v>70</v>
      </c>
    </row>
    <row r="35" spans="1:11" x14ac:dyDescent="0.45">
      <c r="A35" s="6">
        <v>3046127</v>
      </c>
      <c r="B35" t="s">
        <v>160</v>
      </c>
      <c r="C35" t="s">
        <v>161</v>
      </c>
      <c r="D35" s="22">
        <v>45832.734560185199</v>
      </c>
      <c r="E35" s="5" t="s">
        <v>178</v>
      </c>
      <c r="G35" s="13">
        <v>45748</v>
      </c>
      <c r="H35" t="s">
        <v>119</v>
      </c>
      <c r="I35" t="s">
        <v>63</v>
      </c>
      <c r="J35" t="s">
        <v>42</v>
      </c>
      <c r="K35" s="5" t="s">
        <v>35</v>
      </c>
    </row>
    <row r="36" spans="1:11" x14ac:dyDescent="0.45">
      <c r="A36" s="6">
        <v>3045992</v>
      </c>
      <c r="B36" t="s">
        <v>160</v>
      </c>
      <c r="C36" t="s">
        <v>161</v>
      </c>
      <c r="D36" s="22">
        <v>45828.663842592599</v>
      </c>
      <c r="E36" s="5" t="s">
        <v>178</v>
      </c>
      <c r="G36" s="13">
        <v>45757</v>
      </c>
      <c r="H36" t="s">
        <v>134</v>
      </c>
      <c r="I36" t="s">
        <v>91</v>
      </c>
      <c r="J36" t="s">
        <v>148</v>
      </c>
      <c r="K36" s="5" t="s">
        <v>170</v>
      </c>
    </row>
    <row r="37" spans="1:11" x14ac:dyDescent="0.45">
      <c r="A37" s="6">
        <v>3045764</v>
      </c>
      <c r="B37" t="s">
        <v>160</v>
      </c>
      <c r="C37" t="s">
        <v>161</v>
      </c>
      <c r="D37" s="22">
        <v>45824.562523148103</v>
      </c>
      <c r="E37" s="5" t="s">
        <v>178</v>
      </c>
      <c r="G37" s="13">
        <v>45749</v>
      </c>
      <c r="H37" t="s">
        <v>166</v>
      </c>
      <c r="I37" t="s">
        <v>75</v>
      </c>
      <c r="J37" t="s">
        <v>148</v>
      </c>
      <c r="K37" s="5" t="s">
        <v>70</v>
      </c>
    </row>
    <row r="38" spans="1:11" x14ac:dyDescent="0.45">
      <c r="A38" s="6">
        <v>3045467</v>
      </c>
      <c r="B38" t="s">
        <v>160</v>
      </c>
      <c r="C38" t="s">
        <v>161</v>
      </c>
      <c r="D38" s="22">
        <v>45818.442523148202</v>
      </c>
      <c r="E38" s="5" t="s">
        <v>180</v>
      </c>
      <c r="G38" s="13">
        <v>45757</v>
      </c>
      <c r="H38" t="s">
        <v>137</v>
      </c>
      <c r="I38" t="s">
        <v>92</v>
      </c>
      <c r="J38" t="s">
        <v>171</v>
      </c>
      <c r="K38" s="5" t="s">
        <v>61</v>
      </c>
    </row>
    <row r="39" spans="1:11" ht="14.65" thickBot="1" x14ac:dyDescent="0.5">
      <c r="A39" s="6">
        <v>3045457</v>
      </c>
      <c r="B39" t="s">
        <v>160</v>
      </c>
      <c r="C39" t="s">
        <v>161</v>
      </c>
      <c r="D39" s="22">
        <v>45818.3925578704</v>
      </c>
      <c r="E39" s="5" t="s">
        <v>178</v>
      </c>
      <c r="G39" s="16">
        <v>45764</v>
      </c>
      <c r="H39" s="9" t="s">
        <v>140</v>
      </c>
      <c r="I39" s="9" t="s">
        <v>96</v>
      </c>
      <c r="J39" s="9" t="s">
        <v>148</v>
      </c>
      <c r="K39" s="17" t="s">
        <v>69</v>
      </c>
    </row>
    <row r="40" spans="1:11" x14ac:dyDescent="0.45">
      <c r="A40" s="6">
        <v>3046038</v>
      </c>
      <c r="B40" t="s">
        <v>86</v>
      </c>
      <c r="C40" t="s">
        <v>119</v>
      </c>
      <c r="D40" s="22">
        <v>45831.515196759297</v>
      </c>
      <c r="E40" s="5" t="s">
        <v>178</v>
      </c>
    </row>
    <row r="41" spans="1:11" x14ac:dyDescent="0.45">
      <c r="A41" s="6">
        <v>3045882</v>
      </c>
      <c r="B41" t="s">
        <v>86</v>
      </c>
      <c r="C41" t="s">
        <v>119</v>
      </c>
      <c r="D41" s="22">
        <v>45826.406828703701</v>
      </c>
      <c r="E41" s="5" t="s">
        <v>178</v>
      </c>
    </row>
    <row r="42" spans="1:11" x14ac:dyDescent="0.45">
      <c r="A42" s="6">
        <v>3045881</v>
      </c>
      <c r="B42" t="s">
        <v>86</v>
      </c>
      <c r="C42" t="s">
        <v>119</v>
      </c>
      <c r="D42" s="22">
        <v>45826.406053240702</v>
      </c>
      <c r="E42" s="5" t="s">
        <v>178</v>
      </c>
    </row>
    <row r="43" spans="1:11" x14ac:dyDescent="0.45">
      <c r="A43" s="6">
        <v>3045804</v>
      </c>
      <c r="B43" t="s">
        <v>86</v>
      </c>
      <c r="C43" t="s">
        <v>119</v>
      </c>
      <c r="D43" s="22">
        <v>45825.394155092603</v>
      </c>
      <c r="E43" s="5" t="s">
        <v>178</v>
      </c>
    </row>
    <row r="44" spans="1:11" x14ac:dyDescent="0.45">
      <c r="A44" s="6">
        <v>3045773</v>
      </c>
      <c r="B44" t="s">
        <v>87</v>
      </c>
      <c r="C44" t="s">
        <v>120</v>
      </c>
      <c r="D44" s="22">
        <v>45824.6505555556</v>
      </c>
      <c r="E44" s="5" t="s">
        <v>178</v>
      </c>
    </row>
    <row r="45" spans="1:11" x14ac:dyDescent="0.45">
      <c r="A45" s="6">
        <v>3045184</v>
      </c>
      <c r="B45" t="s">
        <v>87</v>
      </c>
      <c r="C45" t="s">
        <v>120</v>
      </c>
      <c r="D45" s="22">
        <v>45811.723888888897</v>
      </c>
      <c r="E45" s="5" t="s">
        <v>178</v>
      </c>
    </row>
    <row r="46" spans="1:11" x14ac:dyDescent="0.45">
      <c r="A46" s="6">
        <v>3046081</v>
      </c>
      <c r="B46" t="s">
        <v>54</v>
      </c>
      <c r="C46" t="s">
        <v>181</v>
      </c>
      <c r="D46" s="22">
        <v>45831.766909722202</v>
      </c>
      <c r="E46" s="5" t="s">
        <v>178</v>
      </c>
    </row>
    <row r="47" spans="1:11" x14ac:dyDescent="0.45">
      <c r="A47" s="6">
        <v>3045769</v>
      </c>
      <c r="B47" t="s">
        <v>54</v>
      </c>
      <c r="C47" t="s">
        <v>125</v>
      </c>
      <c r="D47" s="22">
        <v>45824.630729166704</v>
      </c>
      <c r="E47" s="5" t="s">
        <v>178</v>
      </c>
    </row>
    <row r="48" spans="1:11" x14ac:dyDescent="0.45">
      <c r="A48" s="6">
        <v>3045889</v>
      </c>
      <c r="B48" t="s">
        <v>88</v>
      </c>
      <c r="C48" t="s">
        <v>164</v>
      </c>
      <c r="D48" s="22">
        <v>45826.4532638889</v>
      </c>
      <c r="E48" s="5" t="s">
        <v>178</v>
      </c>
    </row>
    <row r="49" spans="1:5" x14ac:dyDescent="0.45">
      <c r="A49" s="6">
        <v>3045887</v>
      </c>
      <c r="B49" t="s">
        <v>88</v>
      </c>
      <c r="C49" t="s">
        <v>164</v>
      </c>
      <c r="D49" s="22">
        <v>45826.444317129601</v>
      </c>
      <c r="E49" s="5" t="s">
        <v>178</v>
      </c>
    </row>
    <row r="50" spans="1:5" x14ac:dyDescent="0.45">
      <c r="A50" s="6">
        <v>3045384</v>
      </c>
      <c r="B50" t="s">
        <v>88</v>
      </c>
      <c r="C50" t="s">
        <v>164</v>
      </c>
      <c r="D50" s="22">
        <v>45817.436608796299</v>
      </c>
      <c r="E50" s="5" t="s">
        <v>178</v>
      </c>
    </row>
    <row r="51" spans="1:5" x14ac:dyDescent="0.45">
      <c r="A51" s="6">
        <v>3046150</v>
      </c>
      <c r="B51" t="s">
        <v>89</v>
      </c>
      <c r="C51" t="s">
        <v>121</v>
      </c>
      <c r="D51" s="22">
        <v>45833.494803240697</v>
      </c>
      <c r="E51" s="5" t="s">
        <v>182</v>
      </c>
    </row>
    <row r="52" spans="1:5" x14ac:dyDescent="0.45">
      <c r="A52" s="6">
        <v>3046461</v>
      </c>
      <c r="B52" t="s">
        <v>59</v>
      </c>
      <c r="C52" t="s">
        <v>176</v>
      </c>
      <c r="D52" s="22">
        <v>45838.715636574103</v>
      </c>
      <c r="E52" s="5" t="s">
        <v>178</v>
      </c>
    </row>
    <row r="53" spans="1:5" x14ac:dyDescent="0.45">
      <c r="A53" s="6">
        <v>3045997</v>
      </c>
      <c r="B53" t="s">
        <v>59</v>
      </c>
      <c r="C53" t="s">
        <v>123</v>
      </c>
      <c r="D53" s="22">
        <v>45828.706226851798</v>
      </c>
      <c r="E53" s="5" t="s">
        <v>178</v>
      </c>
    </row>
    <row r="54" spans="1:5" x14ac:dyDescent="0.45">
      <c r="A54" s="6">
        <v>3045459</v>
      </c>
      <c r="B54" t="s">
        <v>59</v>
      </c>
      <c r="C54" t="s">
        <v>176</v>
      </c>
      <c r="D54" s="22">
        <v>45818.402152777802</v>
      </c>
      <c r="E54" s="5" t="s">
        <v>178</v>
      </c>
    </row>
    <row r="55" spans="1:5" x14ac:dyDescent="0.45">
      <c r="A55" s="6">
        <v>3045354</v>
      </c>
      <c r="B55" t="s">
        <v>59</v>
      </c>
      <c r="C55" t="s">
        <v>176</v>
      </c>
      <c r="D55" s="22">
        <v>45814.712928240697</v>
      </c>
      <c r="E55" s="5" t="s">
        <v>178</v>
      </c>
    </row>
    <row r="56" spans="1:5" x14ac:dyDescent="0.45">
      <c r="A56" s="6">
        <v>3046277</v>
      </c>
      <c r="B56" t="s">
        <v>165</v>
      </c>
      <c r="C56" t="s">
        <v>126</v>
      </c>
      <c r="D56" s="22">
        <v>45834.673229166699</v>
      </c>
      <c r="E56" s="5" t="s">
        <v>178</v>
      </c>
    </row>
    <row r="57" spans="1:5" x14ac:dyDescent="0.45">
      <c r="A57" s="6">
        <v>3046275</v>
      </c>
      <c r="B57" t="s">
        <v>165</v>
      </c>
      <c r="C57" t="s">
        <v>126</v>
      </c>
      <c r="D57" s="22">
        <v>45834.6721875</v>
      </c>
      <c r="E57" s="5" t="s">
        <v>178</v>
      </c>
    </row>
    <row r="58" spans="1:5" x14ac:dyDescent="0.45">
      <c r="A58" s="6">
        <v>3046118</v>
      </c>
      <c r="B58" t="s">
        <v>165</v>
      </c>
      <c r="C58" t="s">
        <v>126</v>
      </c>
      <c r="D58" s="22">
        <v>45832.652789351901</v>
      </c>
      <c r="E58" s="5" t="s">
        <v>178</v>
      </c>
    </row>
    <row r="59" spans="1:5" x14ac:dyDescent="0.45">
      <c r="A59" s="6">
        <v>3045360</v>
      </c>
      <c r="B59" t="s">
        <v>165</v>
      </c>
      <c r="C59" t="s">
        <v>126</v>
      </c>
      <c r="D59" s="22">
        <v>45814.756921296299</v>
      </c>
      <c r="E59" s="5" t="s">
        <v>178</v>
      </c>
    </row>
    <row r="60" spans="1:5" x14ac:dyDescent="0.45">
      <c r="A60" s="6">
        <v>3045183</v>
      </c>
      <c r="B60" t="s">
        <v>165</v>
      </c>
      <c r="C60" t="s">
        <v>126</v>
      </c>
      <c r="D60" s="22">
        <v>45811.705752314803</v>
      </c>
      <c r="E60" s="5" t="s">
        <v>178</v>
      </c>
    </row>
    <row r="61" spans="1:5" x14ac:dyDescent="0.45">
      <c r="A61" s="6">
        <v>3045932</v>
      </c>
      <c r="B61" t="s">
        <v>68</v>
      </c>
      <c r="C61" t="s">
        <v>67</v>
      </c>
      <c r="D61" s="22">
        <v>45826.690775463001</v>
      </c>
      <c r="E61" s="5" t="s">
        <v>178</v>
      </c>
    </row>
    <row r="62" spans="1:5" x14ac:dyDescent="0.45">
      <c r="A62" s="6">
        <v>3045351</v>
      </c>
      <c r="B62" t="s">
        <v>68</v>
      </c>
      <c r="C62" t="s">
        <v>67</v>
      </c>
      <c r="D62" s="22">
        <v>45814.701342592598</v>
      </c>
      <c r="E62" s="5" t="s">
        <v>182</v>
      </c>
    </row>
    <row r="63" spans="1:5" x14ac:dyDescent="0.45">
      <c r="A63" s="6">
        <v>3045216</v>
      </c>
      <c r="B63" t="s">
        <v>91</v>
      </c>
      <c r="C63" t="s">
        <v>132</v>
      </c>
      <c r="D63" s="22">
        <v>45812.551851851902</v>
      </c>
      <c r="E63" s="5" t="s">
        <v>182</v>
      </c>
    </row>
    <row r="64" spans="1:5" x14ac:dyDescent="0.45">
      <c r="A64" s="6">
        <v>3045210</v>
      </c>
      <c r="B64" t="s">
        <v>91</v>
      </c>
      <c r="C64" t="s">
        <v>132</v>
      </c>
      <c r="D64" s="22">
        <v>45812.516805555599</v>
      </c>
      <c r="E64" s="5" t="s">
        <v>178</v>
      </c>
    </row>
    <row r="65" spans="1:5" x14ac:dyDescent="0.45">
      <c r="A65" s="6">
        <v>3045154</v>
      </c>
      <c r="B65" t="s">
        <v>91</v>
      </c>
      <c r="C65" t="s">
        <v>132</v>
      </c>
      <c r="D65" s="22">
        <v>45811.465208333299</v>
      </c>
      <c r="E65" s="5" t="s">
        <v>178</v>
      </c>
    </row>
    <row r="66" spans="1:5" x14ac:dyDescent="0.45">
      <c r="A66" s="6">
        <v>3046258</v>
      </c>
      <c r="B66" t="s">
        <v>75</v>
      </c>
      <c r="C66" t="s">
        <v>74</v>
      </c>
      <c r="D66" s="22">
        <v>45834.584606481498</v>
      </c>
      <c r="E66" s="5" t="s">
        <v>178</v>
      </c>
    </row>
    <row r="67" spans="1:5" x14ac:dyDescent="0.45">
      <c r="A67" s="6">
        <v>3045388</v>
      </c>
      <c r="B67" t="s">
        <v>75</v>
      </c>
      <c r="C67" t="s">
        <v>74</v>
      </c>
      <c r="D67" s="22">
        <v>45817.4547453704</v>
      </c>
      <c r="E67" s="5" t="s">
        <v>178</v>
      </c>
    </row>
    <row r="68" spans="1:5" x14ac:dyDescent="0.45">
      <c r="A68" s="6">
        <v>3045321</v>
      </c>
      <c r="B68" t="s">
        <v>75</v>
      </c>
      <c r="C68" t="s">
        <v>74</v>
      </c>
      <c r="D68" s="22">
        <v>45814.524641203701</v>
      </c>
      <c r="E68" s="5" t="s">
        <v>178</v>
      </c>
    </row>
    <row r="69" spans="1:5" x14ac:dyDescent="0.45">
      <c r="A69" s="6">
        <v>3045163</v>
      </c>
      <c r="B69" t="s">
        <v>75</v>
      </c>
      <c r="C69" t="s">
        <v>74</v>
      </c>
      <c r="D69" s="22">
        <v>45811.571099537003</v>
      </c>
      <c r="E69" s="5" t="s">
        <v>178</v>
      </c>
    </row>
    <row r="70" spans="1:5" x14ac:dyDescent="0.45">
      <c r="A70" s="6">
        <v>3045267</v>
      </c>
      <c r="B70" t="s">
        <v>92</v>
      </c>
      <c r="C70" t="s">
        <v>137</v>
      </c>
      <c r="D70" s="22">
        <v>45813.5552314815</v>
      </c>
      <c r="E70" s="5" t="s">
        <v>178</v>
      </c>
    </row>
    <row r="71" spans="1:5" x14ac:dyDescent="0.45">
      <c r="A71" s="6">
        <v>3046389</v>
      </c>
      <c r="B71" t="s">
        <v>93</v>
      </c>
      <c r="C71" t="s">
        <v>58</v>
      </c>
      <c r="D71" s="22">
        <v>45838.496111111097</v>
      </c>
      <c r="E71" s="5" t="s">
        <v>178</v>
      </c>
    </row>
    <row r="72" spans="1:5" x14ac:dyDescent="0.45">
      <c r="A72" s="6">
        <v>3046388</v>
      </c>
      <c r="B72" t="s">
        <v>93</v>
      </c>
      <c r="C72" t="s">
        <v>58</v>
      </c>
      <c r="D72" s="22">
        <v>45838.488217592603</v>
      </c>
      <c r="E72" s="5" t="s">
        <v>178</v>
      </c>
    </row>
    <row r="73" spans="1:5" x14ac:dyDescent="0.45">
      <c r="A73" s="6">
        <v>3045959</v>
      </c>
      <c r="B73" t="s">
        <v>93</v>
      </c>
      <c r="C73" t="s">
        <v>58</v>
      </c>
      <c r="D73" s="22">
        <v>45828.457465277803</v>
      </c>
      <c r="E73" s="5" t="s">
        <v>178</v>
      </c>
    </row>
    <row r="74" spans="1:5" x14ac:dyDescent="0.45">
      <c r="A74" s="6">
        <v>3045711</v>
      </c>
      <c r="B74" t="s">
        <v>93</v>
      </c>
      <c r="C74" t="s">
        <v>58</v>
      </c>
      <c r="D74" s="22">
        <v>45821.687384259298</v>
      </c>
      <c r="E74" s="5" t="s">
        <v>178</v>
      </c>
    </row>
    <row r="75" spans="1:5" x14ac:dyDescent="0.45">
      <c r="A75" s="6">
        <v>3045710</v>
      </c>
      <c r="B75" t="s">
        <v>93</v>
      </c>
      <c r="C75" t="s">
        <v>58</v>
      </c>
      <c r="D75" s="22">
        <v>45821.686527777798</v>
      </c>
      <c r="E75" s="5" t="s">
        <v>178</v>
      </c>
    </row>
    <row r="76" spans="1:5" x14ac:dyDescent="0.45">
      <c r="A76" s="6">
        <v>3045045</v>
      </c>
      <c r="B76" t="s">
        <v>93</v>
      </c>
      <c r="C76" t="s">
        <v>58</v>
      </c>
      <c r="D76" s="22">
        <v>45810.403946759303</v>
      </c>
      <c r="E76" s="5" t="s">
        <v>178</v>
      </c>
    </row>
    <row r="77" spans="1:5" x14ac:dyDescent="0.45">
      <c r="A77" s="6">
        <v>3046242</v>
      </c>
      <c r="B77" t="s">
        <v>94</v>
      </c>
      <c r="C77" t="s">
        <v>142</v>
      </c>
      <c r="D77" s="22">
        <v>45834.479861111096</v>
      </c>
      <c r="E77" s="5" t="s">
        <v>178</v>
      </c>
    </row>
    <row r="78" spans="1:5" x14ac:dyDescent="0.45">
      <c r="A78" s="6">
        <v>3046241</v>
      </c>
      <c r="B78" t="s">
        <v>94</v>
      </c>
      <c r="C78" t="s">
        <v>142</v>
      </c>
      <c r="D78" s="22">
        <v>45834.478877314803</v>
      </c>
      <c r="E78" s="5" t="s">
        <v>178</v>
      </c>
    </row>
    <row r="79" spans="1:5" x14ac:dyDescent="0.45">
      <c r="A79" s="6">
        <v>3046234</v>
      </c>
      <c r="B79" t="s">
        <v>94</v>
      </c>
      <c r="C79" t="s">
        <v>142</v>
      </c>
      <c r="D79" s="22">
        <v>45834.461967592601</v>
      </c>
      <c r="E79" s="5" t="s">
        <v>178</v>
      </c>
    </row>
    <row r="80" spans="1:5" x14ac:dyDescent="0.45">
      <c r="A80" s="6">
        <v>3046006</v>
      </c>
      <c r="B80" t="s">
        <v>95</v>
      </c>
      <c r="C80" t="s">
        <v>144</v>
      </c>
      <c r="D80" s="22">
        <v>45829.430914351899</v>
      </c>
      <c r="E80" s="5" t="s">
        <v>178</v>
      </c>
    </row>
    <row r="81" spans="1:5" ht="14.65" thickBot="1" x14ac:dyDescent="0.5">
      <c r="A81" s="8">
        <v>3045820</v>
      </c>
      <c r="B81" s="9" t="s">
        <v>96</v>
      </c>
      <c r="C81" s="9" t="s">
        <v>140</v>
      </c>
      <c r="D81" s="23">
        <v>45825.508900462999</v>
      </c>
      <c r="E81" s="17" t="s">
        <v>178</v>
      </c>
    </row>
  </sheetData>
  <mergeCells count="2">
    <mergeCell ref="A27:E27"/>
    <mergeCell ref="G27:K2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FF9FA-F645-4A2E-8D0A-60486470574A}">
  <sheetPr codeName="Sheet14"/>
  <dimension ref="A1:F22"/>
  <sheetViews>
    <sheetView workbookViewId="0">
      <selection activeCell="F23" sqref="F23"/>
    </sheetView>
  </sheetViews>
  <sheetFormatPr defaultRowHeight="14.25" x14ac:dyDescent="0.45"/>
  <cols>
    <col min="1" max="1" width="9.73046875" bestFit="1" customWidth="1"/>
    <col min="3" max="3" width="12.86328125" bestFit="1" customWidth="1"/>
  </cols>
  <sheetData>
    <row r="1" spans="1:6" x14ac:dyDescent="0.45">
      <c r="A1" t="s">
        <v>23</v>
      </c>
      <c r="B1" t="s">
        <v>97</v>
      </c>
      <c r="C1" t="s">
        <v>167</v>
      </c>
      <c r="D1" t="s">
        <v>99</v>
      </c>
      <c r="E1" t="s">
        <v>18</v>
      </c>
      <c r="F1" t="s">
        <v>183</v>
      </c>
    </row>
    <row r="2" spans="1:6" x14ac:dyDescent="0.45">
      <c r="A2" s="1">
        <v>45810</v>
      </c>
      <c r="B2">
        <v>7</v>
      </c>
      <c r="C2">
        <v>11</v>
      </c>
      <c r="D2" s="2">
        <f>SUM(B2/C2)</f>
        <v>0.63636363636363635</v>
      </c>
      <c r="E2" s="2">
        <v>0.8</v>
      </c>
    </row>
    <row r="3" spans="1:6" x14ac:dyDescent="0.45">
      <c r="A3" s="1">
        <v>45811</v>
      </c>
      <c r="B3">
        <v>10</v>
      </c>
      <c r="C3">
        <v>11</v>
      </c>
      <c r="D3" s="2">
        <f t="shared" ref="D3:D21" si="0">SUM(B3/C3)</f>
        <v>0.90909090909090906</v>
      </c>
      <c r="E3" s="2">
        <v>0.8</v>
      </c>
      <c r="F3">
        <v>1</v>
      </c>
    </row>
    <row r="4" spans="1:6" x14ac:dyDescent="0.45">
      <c r="A4" s="1">
        <v>45812</v>
      </c>
      <c r="B4">
        <v>9</v>
      </c>
      <c r="C4">
        <v>11</v>
      </c>
      <c r="D4" s="2">
        <f t="shared" si="0"/>
        <v>0.81818181818181823</v>
      </c>
      <c r="E4" s="2">
        <v>0.8</v>
      </c>
      <c r="F4">
        <v>1</v>
      </c>
    </row>
    <row r="5" spans="1:6" x14ac:dyDescent="0.45">
      <c r="A5" s="1">
        <v>45813</v>
      </c>
      <c r="B5">
        <v>8</v>
      </c>
      <c r="C5">
        <v>11</v>
      </c>
      <c r="D5" s="2">
        <f t="shared" si="0"/>
        <v>0.72727272727272729</v>
      </c>
      <c r="E5" s="2">
        <v>0.8</v>
      </c>
    </row>
    <row r="6" spans="1:6" x14ac:dyDescent="0.45">
      <c r="A6" s="1">
        <v>45814</v>
      </c>
      <c r="B6">
        <v>8</v>
      </c>
      <c r="C6">
        <v>11</v>
      </c>
      <c r="D6" s="2">
        <f t="shared" si="0"/>
        <v>0.72727272727272729</v>
      </c>
      <c r="E6" s="2">
        <v>0.8</v>
      </c>
    </row>
    <row r="7" spans="1:6" x14ac:dyDescent="0.45">
      <c r="A7" s="1">
        <v>45817</v>
      </c>
      <c r="B7">
        <v>9</v>
      </c>
      <c r="C7">
        <v>11</v>
      </c>
      <c r="D7" s="2">
        <f t="shared" si="0"/>
        <v>0.81818181818181823</v>
      </c>
      <c r="E7" s="2">
        <v>0.8</v>
      </c>
      <c r="F7">
        <v>1</v>
      </c>
    </row>
    <row r="8" spans="1:6" x14ac:dyDescent="0.45">
      <c r="A8" s="1">
        <v>45818</v>
      </c>
      <c r="B8">
        <v>9</v>
      </c>
      <c r="C8">
        <v>11</v>
      </c>
      <c r="D8" s="2">
        <f t="shared" si="0"/>
        <v>0.81818181818181823</v>
      </c>
      <c r="E8" s="2">
        <v>0.8</v>
      </c>
      <c r="F8">
        <v>1</v>
      </c>
    </row>
    <row r="9" spans="1:6" x14ac:dyDescent="0.45">
      <c r="A9" s="1">
        <v>45819</v>
      </c>
      <c r="B9">
        <v>10</v>
      </c>
      <c r="C9">
        <v>11</v>
      </c>
      <c r="D9" s="2">
        <f t="shared" si="0"/>
        <v>0.90909090909090906</v>
      </c>
      <c r="E9" s="2">
        <v>0.8</v>
      </c>
      <c r="F9">
        <v>1</v>
      </c>
    </row>
    <row r="10" spans="1:6" x14ac:dyDescent="0.45">
      <c r="A10" s="1">
        <v>45820</v>
      </c>
      <c r="B10">
        <v>6</v>
      </c>
      <c r="C10">
        <v>11</v>
      </c>
      <c r="D10" s="2">
        <f t="shared" si="0"/>
        <v>0.54545454545454541</v>
      </c>
      <c r="E10" s="2">
        <v>0.8</v>
      </c>
    </row>
    <row r="11" spans="1:6" x14ac:dyDescent="0.45">
      <c r="A11" s="1">
        <v>45821</v>
      </c>
      <c r="B11">
        <v>9</v>
      </c>
      <c r="C11">
        <v>11</v>
      </c>
      <c r="D11" s="2">
        <f t="shared" si="0"/>
        <v>0.81818181818181823</v>
      </c>
      <c r="E11" s="2">
        <v>0.8</v>
      </c>
      <c r="F11">
        <v>1</v>
      </c>
    </row>
    <row r="12" spans="1:6" x14ac:dyDescent="0.45">
      <c r="A12" s="1">
        <v>45824</v>
      </c>
      <c r="B12">
        <v>8</v>
      </c>
      <c r="C12">
        <v>11</v>
      </c>
      <c r="D12" s="2">
        <f t="shared" si="0"/>
        <v>0.72727272727272729</v>
      </c>
      <c r="E12" s="2">
        <v>0.8</v>
      </c>
    </row>
    <row r="13" spans="1:6" x14ac:dyDescent="0.45">
      <c r="A13" s="1">
        <v>45825</v>
      </c>
      <c r="B13">
        <v>9</v>
      </c>
      <c r="C13">
        <v>11</v>
      </c>
      <c r="D13" s="2">
        <f t="shared" si="0"/>
        <v>0.81818181818181823</v>
      </c>
      <c r="E13" s="2">
        <v>0.8</v>
      </c>
      <c r="F13">
        <v>1</v>
      </c>
    </row>
    <row r="14" spans="1:6" x14ac:dyDescent="0.45">
      <c r="A14" s="1">
        <v>45826</v>
      </c>
      <c r="B14">
        <v>10</v>
      </c>
      <c r="C14">
        <v>11</v>
      </c>
      <c r="D14" s="2">
        <f t="shared" si="0"/>
        <v>0.90909090909090906</v>
      </c>
      <c r="E14" s="2">
        <v>0.8</v>
      </c>
      <c r="F14">
        <v>1</v>
      </c>
    </row>
    <row r="15" spans="1:6" x14ac:dyDescent="0.45">
      <c r="A15" s="1">
        <v>45828</v>
      </c>
      <c r="B15">
        <v>8</v>
      </c>
      <c r="C15">
        <v>11</v>
      </c>
      <c r="D15" s="2">
        <f t="shared" si="0"/>
        <v>0.72727272727272729</v>
      </c>
      <c r="E15" s="2">
        <v>0.8</v>
      </c>
    </row>
    <row r="16" spans="1:6" x14ac:dyDescent="0.45">
      <c r="A16" s="1">
        <v>45831</v>
      </c>
      <c r="B16">
        <v>9</v>
      </c>
      <c r="C16">
        <v>11</v>
      </c>
      <c r="D16" s="2">
        <f t="shared" si="0"/>
        <v>0.81818181818181823</v>
      </c>
      <c r="E16" s="2">
        <v>0.8</v>
      </c>
      <c r="F16">
        <v>1</v>
      </c>
    </row>
    <row r="17" spans="1:6" x14ac:dyDescent="0.45">
      <c r="A17" s="1">
        <v>45832</v>
      </c>
      <c r="B17">
        <v>10</v>
      </c>
      <c r="C17">
        <v>11</v>
      </c>
      <c r="D17" s="2">
        <f t="shared" si="0"/>
        <v>0.90909090909090906</v>
      </c>
      <c r="E17" s="2">
        <v>0.8</v>
      </c>
      <c r="F17">
        <v>1</v>
      </c>
    </row>
    <row r="18" spans="1:6" x14ac:dyDescent="0.45">
      <c r="A18" s="1">
        <v>45833</v>
      </c>
      <c r="B18">
        <v>10</v>
      </c>
      <c r="C18">
        <v>11</v>
      </c>
      <c r="D18" s="2">
        <f t="shared" si="0"/>
        <v>0.90909090909090906</v>
      </c>
      <c r="E18" s="2">
        <v>0.8</v>
      </c>
      <c r="F18">
        <v>1</v>
      </c>
    </row>
    <row r="19" spans="1:6" x14ac:dyDescent="0.45">
      <c r="A19" s="1">
        <v>45834</v>
      </c>
      <c r="B19">
        <v>8</v>
      </c>
      <c r="C19">
        <v>11</v>
      </c>
      <c r="D19" s="2">
        <f t="shared" si="0"/>
        <v>0.72727272727272729</v>
      </c>
      <c r="E19" s="2">
        <v>0.8</v>
      </c>
    </row>
    <row r="20" spans="1:6" x14ac:dyDescent="0.45">
      <c r="A20" s="1">
        <v>45835</v>
      </c>
      <c r="B20">
        <v>10</v>
      </c>
      <c r="C20">
        <v>11</v>
      </c>
      <c r="D20" s="2">
        <f t="shared" si="0"/>
        <v>0.90909090909090906</v>
      </c>
      <c r="E20" s="2">
        <v>0.8</v>
      </c>
      <c r="F20">
        <v>1</v>
      </c>
    </row>
    <row r="21" spans="1:6" x14ac:dyDescent="0.45">
      <c r="A21" s="1">
        <v>45838</v>
      </c>
      <c r="B21">
        <v>6</v>
      </c>
      <c r="C21">
        <v>11</v>
      </c>
      <c r="D21" s="2">
        <f t="shared" si="0"/>
        <v>0.54545454545454541</v>
      </c>
      <c r="E21" s="2">
        <v>0.8</v>
      </c>
    </row>
    <row r="22" spans="1:6" x14ac:dyDescent="0.45">
      <c r="A22" t="s">
        <v>20</v>
      </c>
      <c r="B22" s="20">
        <f>AVERAGE(B2:B21)</f>
        <v>8.65</v>
      </c>
      <c r="C22" s="20">
        <f>AVERAGE(C2:C21)</f>
        <v>11</v>
      </c>
      <c r="D22" s="2">
        <f>B22/C22</f>
        <v>0.78636363636363638</v>
      </c>
      <c r="E22" s="2"/>
      <c r="F22">
        <f>COUNT(F2:F21)</f>
        <v>12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B886-3A4E-4D28-8A5B-457D0B74316D}">
  <sheetPr codeName="Sheet15"/>
  <dimension ref="A1:K81"/>
  <sheetViews>
    <sheetView workbookViewId="0">
      <selection activeCell="D24" sqref="D24"/>
    </sheetView>
  </sheetViews>
  <sheetFormatPr defaultRowHeight="14.25" x14ac:dyDescent="0.45"/>
  <cols>
    <col min="1" max="1" width="15.265625" bestFit="1" customWidth="1"/>
    <col min="2" max="2" width="14.59765625" bestFit="1" customWidth="1"/>
    <col min="3" max="3" width="20.1328125" bestFit="1" customWidth="1"/>
    <col min="4" max="4" width="20.73046875" bestFit="1" customWidth="1"/>
    <col min="5" max="5" width="15.86328125" customWidth="1"/>
    <col min="7" max="7" width="9.73046875" bestFit="1" customWidth="1"/>
    <col min="8" max="8" width="19.86328125" bestFit="1" customWidth="1"/>
    <col min="9" max="9" width="10.73046875" bestFit="1" customWidth="1"/>
    <col min="10" max="10" width="13.1328125" bestFit="1" customWidth="1"/>
    <col min="11" max="11" width="21.86328125" bestFit="1" customWidth="1"/>
  </cols>
  <sheetData>
    <row r="1" spans="1:5" x14ac:dyDescent="0.45">
      <c r="A1" t="s">
        <v>25</v>
      </c>
      <c r="B1" s="3" t="s">
        <v>146</v>
      </c>
      <c r="C1" s="3" t="s">
        <v>81</v>
      </c>
      <c r="D1" s="3" t="s">
        <v>100</v>
      </c>
      <c r="E1" s="3" t="s">
        <v>101</v>
      </c>
    </row>
    <row r="2" spans="1:5" x14ac:dyDescent="0.45">
      <c r="A2" t="s">
        <v>82</v>
      </c>
      <c r="B2" s="3">
        <v>4</v>
      </c>
      <c r="C2" s="3">
        <v>0</v>
      </c>
      <c r="D2" s="3"/>
      <c r="E2" s="3"/>
    </row>
    <row r="3" spans="1:5" x14ac:dyDescent="0.45">
      <c r="A3" t="s">
        <v>37</v>
      </c>
      <c r="B3" s="3">
        <v>0</v>
      </c>
      <c r="C3" s="3">
        <v>1</v>
      </c>
      <c r="D3" s="3"/>
      <c r="E3" s="3"/>
    </row>
    <row r="4" spans="1:5" x14ac:dyDescent="0.45">
      <c r="A4" t="s">
        <v>83</v>
      </c>
      <c r="B4" s="3">
        <v>1</v>
      </c>
      <c r="C4" s="3">
        <v>1</v>
      </c>
      <c r="D4" s="3"/>
      <c r="E4" s="3"/>
    </row>
    <row r="5" spans="1:5" x14ac:dyDescent="0.45">
      <c r="A5" t="s">
        <v>84</v>
      </c>
      <c r="B5" s="3">
        <v>6</v>
      </c>
      <c r="C5" s="3">
        <v>0</v>
      </c>
      <c r="D5" s="3"/>
      <c r="E5" s="3">
        <v>1</v>
      </c>
    </row>
    <row r="6" spans="1:5" x14ac:dyDescent="0.45">
      <c r="A6" t="s">
        <v>46</v>
      </c>
      <c r="B6" s="3">
        <v>0</v>
      </c>
      <c r="C6" s="3">
        <v>0</v>
      </c>
      <c r="D6" s="3"/>
      <c r="E6" s="3"/>
    </row>
    <row r="7" spans="1:5" x14ac:dyDescent="0.45">
      <c r="A7" t="s">
        <v>85</v>
      </c>
      <c r="B7" s="3">
        <v>1</v>
      </c>
      <c r="C7" s="3">
        <v>1</v>
      </c>
      <c r="D7" s="3"/>
      <c r="E7" s="3"/>
    </row>
    <row r="8" spans="1:5" x14ac:dyDescent="0.45">
      <c r="A8" t="s">
        <v>86</v>
      </c>
      <c r="B8" s="3">
        <v>4</v>
      </c>
      <c r="C8" s="3">
        <v>1</v>
      </c>
      <c r="D8" s="3"/>
      <c r="E8" s="3"/>
    </row>
    <row r="9" spans="1:5" x14ac:dyDescent="0.45">
      <c r="A9" t="s">
        <v>87</v>
      </c>
      <c r="B9" s="3">
        <v>2</v>
      </c>
      <c r="C9" s="3">
        <v>0</v>
      </c>
      <c r="D9" s="3"/>
      <c r="E9" s="3"/>
    </row>
    <row r="10" spans="1:5" x14ac:dyDescent="0.45">
      <c r="A10" t="s">
        <v>54</v>
      </c>
      <c r="B10" s="3">
        <v>2</v>
      </c>
      <c r="C10" s="3">
        <v>1</v>
      </c>
      <c r="D10" s="3"/>
      <c r="E10" s="3"/>
    </row>
    <row r="11" spans="1:5" x14ac:dyDescent="0.45">
      <c r="A11" t="s">
        <v>88</v>
      </c>
      <c r="B11" s="3">
        <v>3</v>
      </c>
      <c r="C11" s="3">
        <v>0</v>
      </c>
      <c r="D11" s="3"/>
      <c r="E11" s="3"/>
    </row>
    <row r="12" spans="1:5" x14ac:dyDescent="0.45">
      <c r="A12" t="s">
        <v>89</v>
      </c>
      <c r="B12" s="3">
        <v>1</v>
      </c>
      <c r="C12" s="3">
        <v>1</v>
      </c>
      <c r="D12" s="3"/>
      <c r="E12" s="3"/>
    </row>
    <row r="13" spans="1:5" x14ac:dyDescent="0.45">
      <c r="A13" t="s">
        <v>59</v>
      </c>
      <c r="B13" s="3">
        <v>4</v>
      </c>
      <c r="C13" s="3">
        <v>1</v>
      </c>
      <c r="D13" s="3"/>
      <c r="E13" s="3"/>
    </row>
    <row r="14" spans="1:5" x14ac:dyDescent="0.45">
      <c r="A14" t="s">
        <v>90</v>
      </c>
      <c r="B14" s="3">
        <v>5</v>
      </c>
      <c r="C14" s="3">
        <v>0</v>
      </c>
      <c r="D14" s="3"/>
      <c r="E14" s="3"/>
    </row>
    <row r="15" spans="1:5" x14ac:dyDescent="0.45">
      <c r="A15" t="s">
        <v>66</v>
      </c>
      <c r="B15" s="3">
        <v>0</v>
      </c>
      <c r="C15" s="3">
        <v>0</v>
      </c>
      <c r="D15" s="3"/>
      <c r="E15" s="3"/>
    </row>
    <row r="16" spans="1:5" x14ac:dyDescent="0.45">
      <c r="A16" t="s">
        <v>68</v>
      </c>
      <c r="B16" s="3">
        <v>2</v>
      </c>
      <c r="C16" s="3">
        <v>0</v>
      </c>
      <c r="D16" s="3"/>
      <c r="E16" s="3"/>
    </row>
    <row r="17" spans="1:11" x14ac:dyDescent="0.45">
      <c r="A17" t="s">
        <v>91</v>
      </c>
      <c r="B17" s="3">
        <v>3</v>
      </c>
      <c r="C17" s="3">
        <v>1</v>
      </c>
      <c r="D17" s="3"/>
      <c r="E17" s="3">
        <v>1</v>
      </c>
    </row>
    <row r="18" spans="1:11" x14ac:dyDescent="0.45">
      <c r="A18" t="s">
        <v>75</v>
      </c>
      <c r="B18" s="3">
        <v>4</v>
      </c>
      <c r="C18" s="3">
        <v>1</v>
      </c>
      <c r="D18" s="3"/>
      <c r="E18" s="3"/>
    </row>
    <row r="19" spans="1:11" x14ac:dyDescent="0.45">
      <c r="A19" t="s">
        <v>92</v>
      </c>
      <c r="B19" s="3">
        <v>1</v>
      </c>
      <c r="C19" s="3">
        <v>1</v>
      </c>
      <c r="D19" s="3"/>
      <c r="E19" s="3"/>
    </row>
    <row r="20" spans="1:11" x14ac:dyDescent="0.45">
      <c r="A20" t="s">
        <v>93</v>
      </c>
      <c r="B20" s="3">
        <v>6</v>
      </c>
      <c r="C20" s="3">
        <v>0</v>
      </c>
      <c r="D20" s="3"/>
      <c r="E20" s="3"/>
    </row>
    <row r="21" spans="1:11" x14ac:dyDescent="0.45">
      <c r="A21" t="s">
        <v>78</v>
      </c>
      <c r="B21" s="3">
        <v>0</v>
      </c>
      <c r="C21" s="3">
        <v>0</v>
      </c>
      <c r="D21" s="3"/>
      <c r="E21" s="3"/>
    </row>
    <row r="22" spans="1:11" x14ac:dyDescent="0.45">
      <c r="A22" t="s">
        <v>94</v>
      </c>
      <c r="B22" s="3">
        <v>3</v>
      </c>
      <c r="C22" s="3">
        <v>0</v>
      </c>
      <c r="D22" s="3"/>
      <c r="E22" s="3"/>
    </row>
    <row r="23" spans="1:11" x14ac:dyDescent="0.45">
      <c r="A23" t="s">
        <v>95</v>
      </c>
      <c r="B23" s="3">
        <v>1</v>
      </c>
      <c r="C23" s="3">
        <v>0</v>
      </c>
      <c r="D23" s="3"/>
      <c r="E23" s="3"/>
    </row>
    <row r="24" spans="1:11" x14ac:dyDescent="0.45">
      <c r="A24" t="s">
        <v>96</v>
      </c>
      <c r="B24" s="3">
        <v>1</v>
      </c>
      <c r="C24" s="3">
        <v>1</v>
      </c>
      <c r="D24" s="3"/>
      <c r="E24" s="3"/>
    </row>
    <row r="25" spans="1:11" x14ac:dyDescent="0.45">
      <c r="A25" t="s">
        <v>16</v>
      </c>
      <c r="B25" s="3">
        <f>SUM(B2:B24)</f>
        <v>54</v>
      </c>
      <c r="C25" s="3">
        <f>SUM(C2:C24)</f>
        <v>11</v>
      </c>
      <c r="D25" s="3">
        <f t="shared" ref="D25:E25" si="0">SUM(D2:D24)</f>
        <v>0</v>
      </c>
      <c r="E25" s="3">
        <f t="shared" si="0"/>
        <v>2</v>
      </c>
    </row>
    <row r="26" spans="1:11" ht="14.65" thickBot="1" x14ac:dyDescent="0.5">
      <c r="A26" s="9"/>
      <c r="B26" s="9"/>
      <c r="C26" s="9"/>
      <c r="D26" s="9"/>
      <c r="E26" s="9"/>
    </row>
    <row r="27" spans="1:11" x14ac:dyDescent="0.45">
      <c r="A27" s="26" t="s">
        <v>102</v>
      </c>
      <c r="B27" s="27"/>
      <c r="C27" s="27"/>
      <c r="D27" s="27"/>
      <c r="E27" s="28"/>
      <c r="G27" s="26" t="s">
        <v>22</v>
      </c>
      <c r="H27" s="27"/>
      <c r="I27" s="27"/>
      <c r="J27" s="27"/>
      <c r="K27" s="28"/>
    </row>
    <row r="28" spans="1:11" x14ac:dyDescent="0.45">
      <c r="A28" s="4" t="s">
        <v>103</v>
      </c>
      <c r="B28" t="s">
        <v>104</v>
      </c>
      <c r="C28" t="s">
        <v>106</v>
      </c>
      <c r="D28" t="s">
        <v>107</v>
      </c>
      <c r="E28" s="5" t="s">
        <v>177</v>
      </c>
      <c r="G28" s="11" t="s">
        <v>23</v>
      </c>
      <c r="H28" s="3" t="s">
        <v>24</v>
      </c>
      <c r="I28" s="3" t="s">
        <v>25</v>
      </c>
      <c r="J28" s="3" t="s">
        <v>26</v>
      </c>
      <c r="K28" s="12" t="s">
        <v>27</v>
      </c>
    </row>
    <row r="29" spans="1:11" x14ac:dyDescent="0.45">
      <c r="A29" s="6">
        <v>3046014</v>
      </c>
      <c r="B29" t="s">
        <v>108</v>
      </c>
      <c r="C29" t="s">
        <v>28</v>
      </c>
      <c r="D29" s="22">
        <v>45831.376863425903</v>
      </c>
      <c r="E29" s="5" t="s">
        <v>178</v>
      </c>
      <c r="G29" s="13">
        <v>45771</v>
      </c>
      <c r="H29" t="s">
        <v>36</v>
      </c>
      <c r="I29" t="s">
        <v>37</v>
      </c>
      <c r="J29" t="s">
        <v>148</v>
      </c>
      <c r="K29" s="5" t="s">
        <v>133</v>
      </c>
    </row>
    <row r="30" spans="1:11" x14ac:dyDescent="0.45">
      <c r="A30" s="6">
        <v>3045940</v>
      </c>
      <c r="B30" t="s">
        <v>108</v>
      </c>
      <c r="C30" t="s">
        <v>28</v>
      </c>
      <c r="D30" s="22">
        <v>45826.736527777801</v>
      </c>
      <c r="E30" s="5" t="s">
        <v>178</v>
      </c>
      <c r="G30" s="13">
        <v>45768</v>
      </c>
      <c r="H30" t="s">
        <v>112</v>
      </c>
      <c r="I30" t="s">
        <v>83</v>
      </c>
      <c r="J30" t="s">
        <v>148</v>
      </c>
      <c r="K30" s="5" t="s">
        <v>61</v>
      </c>
    </row>
    <row r="31" spans="1:11" x14ac:dyDescent="0.45">
      <c r="A31" s="6">
        <v>3045346</v>
      </c>
      <c r="B31" t="s">
        <v>108</v>
      </c>
      <c r="C31" t="s">
        <v>179</v>
      </c>
      <c r="D31" s="22">
        <v>45814.673125000001</v>
      </c>
      <c r="E31" s="5" t="s">
        <v>178</v>
      </c>
      <c r="G31" s="13">
        <v>45775</v>
      </c>
      <c r="H31" t="s">
        <v>53</v>
      </c>
      <c r="I31" t="s">
        <v>54</v>
      </c>
      <c r="J31" t="s">
        <v>42</v>
      </c>
      <c r="K31" s="5" t="s">
        <v>48</v>
      </c>
    </row>
    <row r="32" spans="1:11" x14ac:dyDescent="0.45">
      <c r="A32" s="6">
        <v>3045074</v>
      </c>
      <c r="B32" t="s">
        <v>108</v>
      </c>
      <c r="C32" t="s">
        <v>28</v>
      </c>
      <c r="D32" s="22">
        <v>45810.517372685201</v>
      </c>
      <c r="E32" s="5" t="s">
        <v>178</v>
      </c>
      <c r="G32" s="13">
        <v>45764</v>
      </c>
      <c r="H32" t="s">
        <v>55</v>
      </c>
      <c r="I32" t="s">
        <v>56</v>
      </c>
      <c r="J32" t="s">
        <v>148</v>
      </c>
      <c r="K32" s="5" t="s">
        <v>43</v>
      </c>
    </row>
    <row r="33" spans="1:11" x14ac:dyDescent="0.45">
      <c r="A33" s="6">
        <v>3045478</v>
      </c>
      <c r="B33" t="s">
        <v>83</v>
      </c>
      <c r="C33" t="s">
        <v>112</v>
      </c>
      <c r="D33" s="22">
        <v>45818.511666666702</v>
      </c>
      <c r="E33" s="5" t="s">
        <v>178</v>
      </c>
      <c r="G33" s="13">
        <v>45769</v>
      </c>
      <c r="H33" t="s">
        <v>169</v>
      </c>
      <c r="I33" t="s">
        <v>89</v>
      </c>
      <c r="J33" t="s">
        <v>148</v>
      </c>
      <c r="K33" s="5" t="s">
        <v>33</v>
      </c>
    </row>
    <row r="34" spans="1:11" x14ac:dyDescent="0.45">
      <c r="A34" s="6">
        <v>3046396</v>
      </c>
      <c r="B34" t="s">
        <v>160</v>
      </c>
      <c r="C34" t="s">
        <v>163</v>
      </c>
      <c r="D34" s="22">
        <v>45838.517719907402</v>
      </c>
      <c r="E34" s="5" t="s">
        <v>178</v>
      </c>
      <c r="G34" s="13">
        <v>45748</v>
      </c>
      <c r="H34" t="s">
        <v>123</v>
      </c>
      <c r="I34" t="s">
        <v>59</v>
      </c>
      <c r="J34" t="s">
        <v>156</v>
      </c>
      <c r="K34" s="5" t="s">
        <v>70</v>
      </c>
    </row>
    <row r="35" spans="1:11" x14ac:dyDescent="0.45">
      <c r="A35" s="6">
        <v>3046127</v>
      </c>
      <c r="B35" t="s">
        <v>160</v>
      </c>
      <c r="C35" t="s">
        <v>161</v>
      </c>
      <c r="D35" s="22">
        <v>45832.734560185199</v>
      </c>
      <c r="E35" s="5" t="s">
        <v>178</v>
      </c>
      <c r="G35" s="13">
        <v>45748</v>
      </c>
      <c r="H35" t="s">
        <v>119</v>
      </c>
      <c r="I35" t="s">
        <v>63</v>
      </c>
      <c r="J35" t="s">
        <v>42</v>
      </c>
      <c r="K35" s="5" t="s">
        <v>35</v>
      </c>
    </row>
    <row r="36" spans="1:11" x14ac:dyDescent="0.45">
      <c r="A36" s="6">
        <v>3045992</v>
      </c>
      <c r="B36" t="s">
        <v>160</v>
      </c>
      <c r="C36" t="s">
        <v>161</v>
      </c>
      <c r="D36" s="22">
        <v>45828.663842592599</v>
      </c>
      <c r="E36" s="5" t="s">
        <v>178</v>
      </c>
      <c r="G36" s="13">
        <v>45757</v>
      </c>
      <c r="H36" t="s">
        <v>134</v>
      </c>
      <c r="I36" t="s">
        <v>91</v>
      </c>
      <c r="J36" t="s">
        <v>148</v>
      </c>
      <c r="K36" s="5" t="s">
        <v>170</v>
      </c>
    </row>
    <row r="37" spans="1:11" x14ac:dyDescent="0.45">
      <c r="A37" s="6">
        <v>3045764</v>
      </c>
      <c r="B37" t="s">
        <v>160</v>
      </c>
      <c r="C37" t="s">
        <v>161</v>
      </c>
      <c r="D37" s="22">
        <v>45824.562523148103</v>
      </c>
      <c r="E37" s="5" t="s">
        <v>178</v>
      </c>
      <c r="G37" s="13">
        <v>45749</v>
      </c>
      <c r="H37" t="s">
        <v>166</v>
      </c>
      <c r="I37" t="s">
        <v>75</v>
      </c>
      <c r="J37" t="s">
        <v>148</v>
      </c>
      <c r="K37" s="5" t="s">
        <v>70</v>
      </c>
    </row>
    <row r="38" spans="1:11" x14ac:dyDescent="0.45">
      <c r="A38" s="6">
        <v>3045467</v>
      </c>
      <c r="B38" t="s">
        <v>160</v>
      </c>
      <c r="C38" t="s">
        <v>161</v>
      </c>
      <c r="D38" s="22">
        <v>45818.442523148202</v>
      </c>
      <c r="E38" s="5" t="s">
        <v>180</v>
      </c>
      <c r="G38" s="13">
        <v>45757</v>
      </c>
      <c r="H38" t="s">
        <v>137</v>
      </c>
      <c r="I38" t="s">
        <v>92</v>
      </c>
      <c r="J38" t="s">
        <v>171</v>
      </c>
      <c r="K38" s="5" t="s">
        <v>61</v>
      </c>
    </row>
    <row r="39" spans="1:11" ht="14.65" thickBot="1" x14ac:dyDescent="0.5">
      <c r="A39" s="6">
        <v>3045457</v>
      </c>
      <c r="B39" t="s">
        <v>160</v>
      </c>
      <c r="C39" t="s">
        <v>161</v>
      </c>
      <c r="D39" s="22">
        <v>45818.3925578704</v>
      </c>
      <c r="E39" s="5" t="s">
        <v>178</v>
      </c>
      <c r="G39" s="16">
        <v>45764</v>
      </c>
      <c r="H39" s="9" t="s">
        <v>140</v>
      </c>
      <c r="I39" s="9" t="s">
        <v>96</v>
      </c>
      <c r="J39" s="9" t="s">
        <v>148</v>
      </c>
      <c r="K39" s="17" t="s">
        <v>69</v>
      </c>
    </row>
    <row r="40" spans="1:11" x14ac:dyDescent="0.45">
      <c r="A40" s="6">
        <v>3046038</v>
      </c>
      <c r="B40" t="s">
        <v>86</v>
      </c>
      <c r="C40" t="s">
        <v>119</v>
      </c>
      <c r="D40" s="22">
        <v>45831.515196759297</v>
      </c>
      <c r="E40" s="5" t="s">
        <v>178</v>
      </c>
    </row>
    <row r="41" spans="1:11" x14ac:dyDescent="0.45">
      <c r="A41" s="6">
        <v>3045882</v>
      </c>
      <c r="B41" t="s">
        <v>86</v>
      </c>
      <c r="C41" t="s">
        <v>119</v>
      </c>
      <c r="D41" s="22">
        <v>45826.406828703701</v>
      </c>
      <c r="E41" s="5" t="s">
        <v>178</v>
      </c>
    </row>
    <row r="42" spans="1:11" x14ac:dyDescent="0.45">
      <c r="A42" s="6">
        <v>3045881</v>
      </c>
      <c r="B42" t="s">
        <v>86</v>
      </c>
      <c r="C42" t="s">
        <v>119</v>
      </c>
      <c r="D42" s="22">
        <v>45826.406053240702</v>
      </c>
      <c r="E42" s="5" t="s">
        <v>178</v>
      </c>
    </row>
    <row r="43" spans="1:11" x14ac:dyDescent="0.45">
      <c r="A43" s="6">
        <v>3045804</v>
      </c>
      <c r="B43" t="s">
        <v>86</v>
      </c>
      <c r="C43" t="s">
        <v>119</v>
      </c>
      <c r="D43" s="22">
        <v>45825.394155092603</v>
      </c>
      <c r="E43" s="5" t="s">
        <v>178</v>
      </c>
    </row>
    <row r="44" spans="1:11" x14ac:dyDescent="0.45">
      <c r="A44" s="6">
        <v>3045773</v>
      </c>
      <c r="B44" t="s">
        <v>87</v>
      </c>
      <c r="C44" t="s">
        <v>120</v>
      </c>
      <c r="D44" s="22">
        <v>45824.6505555556</v>
      </c>
      <c r="E44" s="5" t="s">
        <v>178</v>
      </c>
    </row>
    <row r="45" spans="1:11" x14ac:dyDescent="0.45">
      <c r="A45" s="6">
        <v>3045184</v>
      </c>
      <c r="B45" t="s">
        <v>87</v>
      </c>
      <c r="C45" t="s">
        <v>120</v>
      </c>
      <c r="D45" s="22">
        <v>45811.723888888897</v>
      </c>
      <c r="E45" s="5" t="s">
        <v>178</v>
      </c>
    </row>
    <row r="46" spans="1:11" x14ac:dyDescent="0.45">
      <c r="A46" s="6">
        <v>3046081</v>
      </c>
      <c r="B46" t="s">
        <v>54</v>
      </c>
      <c r="C46" t="s">
        <v>181</v>
      </c>
      <c r="D46" s="22">
        <v>45831.766909722202</v>
      </c>
      <c r="E46" s="5" t="s">
        <v>178</v>
      </c>
    </row>
    <row r="47" spans="1:11" x14ac:dyDescent="0.45">
      <c r="A47" s="6">
        <v>3045769</v>
      </c>
      <c r="B47" t="s">
        <v>54</v>
      </c>
      <c r="C47" t="s">
        <v>125</v>
      </c>
      <c r="D47" s="22">
        <v>45824.630729166704</v>
      </c>
      <c r="E47" s="5" t="s">
        <v>178</v>
      </c>
    </row>
    <row r="48" spans="1:11" x14ac:dyDescent="0.45">
      <c r="A48" s="6">
        <v>3045889</v>
      </c>
      <c r="B48" t="s">
        <v>88</v>
      </c>
      <c r="C48" t="s">
        <v>164</v>
      </c>
      <c r="D48" s="22">
        <v>45826.4532638889</v>
      </c>
      <c r="E48" s="5" t="s">
        <v>178</v>
      </c>
    </row>
    <row r="49" spans="1:5" x14ac:dyDescent="0.45">
      <c r="A49" s="6">
        <v>3045887</v>
      </c>
      <c r="B49" t="s">
        <v>88</v>
      </c>
      <c r="C49" t="s">
        <v>164</v>
      </c>
      <c r="D49" s="22">
        <v>45826.444317129601</v>
      </c>
      <c r="E49" s="5" t="s">
        <v>178</v>
      </c>
    </row>
    <row r="50" spans="1:5" x14ac:dyDescent="0.45">
      <c r="A50" s="6">
        <v>3045384</v>
      </c>
      <c r="B50" t="s">
        <v>88</v>
      </c>
      <c r="C50" t="s">
        <v>164</v>
      </c>
      <c r="D50" s="22">
        <v>45817.436608796299</v>
      </c>
      <c r="E50" s="5" t="s">
        <v>178</v>
      </c>
    </row>
    <row r="51" spans="1:5" x14ac:dyDescent="0.45">
      <c r="A51" s="6">
        <v>3046150</v>
      </c>
      <c r="B51" t="s">
        <v>89</v>
      </c>
      <c r="C51" t="s">
        <v>121</v>
      </c>
      <c r="D51" s="22">
        <v>45833.494803240697</v>
      </c>
      <c r="E51" s="5" t="s">
        <v>182</v>
      </c>
    </row>
    <row r="52" spans="1:5" x14ac:dyDescent="0.45">
      <c r="A52" s="6">
        <v>3046461</v>
      </c>
      <c r="B52" t="s">
        <v>59</v>
      </c>
      <c r="C52" t="s">
        <v>176</v>
      </c>
      <c r="D52" s="22">
        <v>45838.715636574103</v>
      </c>
      <c r="E52" s="5" t="s">
        <v>178</v>
      </c>
    </row>
    <row r="53" spans="1:5" x14ac:dyDescent="0.45">
      <c r="A53" s="6">
        <v>3045997</v>
      </c>
      <c r="B53" t="s">
        <v>59</v>
      </c>
      <c r="C53" t="s">
        <v>123</v>
      </c>
      <c r="D53" s="22">
        <v>45828.706226851798</v>
      </c>
      <c r="E53" s="5" t="s">
        <v>178</v>
      </c>
    </row>
    <row r="54" spans="1:5" x14ac:dyDescent="0.45">
      <c r="A54" s="6">
        <v>3045459</v>
      </c>
      <c r="B54" t="s">
        <v>59</v>
      </c>
      <c r="C54" t="s">
        <v>176</v>
      </c>
      <c r="D54" s="22">
        <v>45818.402152777802</v>
      </c>
      <c r="E54" s="5" t="s">
        <v>178</v>
      </c>
    </row>
    <row r="55" spans="1:5" x14ac:dyDescent="0.45">
      <c r="A55" s="6">
        <v>3045354</v>
      </c>
      <c r="B55" t="s">
        <v>59</v>
      </c>
      <c r="C55" t="s">
        <v>176</v>
      </c>
      <c r="D55" s="22">
        <v>45814.712928240697</v>
      </c>
      <c r="E55" s="5" t="s">
        <v>178</v>
      </c>
    </row>
    <row r="56" spans="1:5" x14ac:dyDescent="0.45">
      <c r="A56" s="6">
        <v>3046277</v>
      </c>
      <c r="B56" t="s">
        <v>165</v>
      </c>
      <c r="C56" t="s">
        <v>126</v>
      </c>
      <c r="D56" s="22">
        <v>45834.673229166699</v>
      </c>
      <c r="E56" s="5" t="s">
        <v>178</v>
      </c>
    </row>
    <row r="57" spans="1:5" x14ac:dyDescent="0.45">
      <c r="A57" s="6">
        <v>3046275</v>
      </c>
      <c r="B57" t="s">
        <v>165</v>
      </c>
      <c r="C57" t="s">
        <v>126</v>
      </c>
      <c r="D57" s="22">
        <v>45834.6721875</v>
      </c>
      <c r="E57" s="5" t="s">
        <v>178</v>
      </c>
    </row>
    <row r="58" spans="1:5" x14ac:dyDescent="0.45">
      <c r="A58" s="6">
        <v>3046118</v>
      </c>
      <c r="B58" t="s">
        <v>165</v>
      </c>
      <c r="C58" t="s">
        <v>126</v>
      </c>
      <c r="D58" s="22">
        <v>45832.652789351901</v>
      </c>
      <c r="E58" s="5" t="s">
        <v>178</v>
      </c>
    </row>
    <row r="59" spans="1:5" x14ac:dyDescent="0.45">
      <c r="A59" s="6">
        <v>3045360</v>
      </c>
      <c r="B59" t="s">
        <v>165</v>
      </c>
      <c r="C59" t="s">
        <v>126</v>
      </c>
      <c r="D59" s="22">
        <v>45814.756921296299</v>
      </c>
      <c r="E59" s="5" t="s">
        <v>178</v>
      </c>
    </row>
    <row r="60" spans="1:5" x14ac:dyDescent="0.45">
      <c r="A60" s="6">
        <v>3045183</v>
      </c>
      <c r="B60" t="s">
        <v>165</v>
      </c>
      <c r="C60" t="s">
        <v>126</v>
      </c>
      <c r="D60" s="22">
        <v>45811.705752314803</v>
      </c>
      <c r="E60" s="5" t="s">
        <v>178</v>
      </c>
    </row>
    <row r="61" spans="1:5" x14ac:dyDescent="0.45">
      <c r="A61" s="6">
        <v>3045932</v>
      </c>
      <c r="B61" t="s">
        <v>68</v>
      </c>
      <c r="C61" t="s">
        <v>67</v>
      </c>
      <c r="D61" s="22">
        <v>45826.690775463001</v>
      </c>
      <c r="E61" s="5" t="s">
        <v>178</v>
      </c>
    </row>
    <row r="62" spans="1:5" x14ac:dyDescent="0.45">
      <c r="A62" s="6">
        <v>3045351</v>
      </c>
      <c r="B62" t="s">
        <v>68</v>
      </c>
      <c r="C62" t="s">
        <v>67</v>
      </c>
      <c r="D62" s="22">
        <v>45814.701342592598</v>
      </c>
      <c r="E62" s="5" t="s">
        <v>182</v>
      </c>
    </row>
    <row r="63" spans="1:5" x14ac:dyDescent="0.45">
      <c r="A63" s="6">
        <v>3045216</v>
      </c>
      <c r="B63" t="s">
        <v>91</v>
      </c>
      <c r="C63" t="s">
        <v>132</v>
      </c>
      <c r="D63" s="22">
        <v>45812.551851851902</v>
      </c>
      <c r="E63" s="5" t="s">
        <v>182</v>
      </c>
    </row>
    <row r="64" spans="1:5" x14ac:dyDescent="0.45">
      <c r="A64" s="6">
        <v>3045210</v>
      </c>
      <c r="B64" t="s">
        <v>91</v>
      </c>
      <c r="C64" t="s">
        <v>132</v>
      </c>
      <c r="D64" s="22">
        <v>45812.516805555599</v>
      </c>
      <c r="E64" s="5" t="s">
        <v>178</v>
      </c>
    </row>
    <row r="65" spans="1:5" x14ac:dyDescent="0.45">
      <c r="A65" s="6">
        <v>3045154</v>
      </c>
      <c r="B65" t="s">
        <v>91</v>
      </c>
      <c r="C65" t="s">
        <v>132</v>
      </c>
      <c r="D65" s="22">
        <v>45811.465208333299</v>
      </c>
      <c r="E65" s="5" t="s">
        <v>178</v>
      </c>
    </row>
    <row r="66" spans="1:5" x14ac:dyDescent="0.45">
      <c r="A66" s="6">
        <v>3046258</v>
      </c>
      <c r="B66" t="s">
        <v>75</v>
      </c>
      <c r="C66" t="s">
        <v>74</v>
      </c>
      <c r="D66" s="22">
        <v>45834.584606481498</v>
      </c>
      <c r="E66" s="5" t="s">
        <v>178</v>
      </c>
    </row>
    <row r="67" spans="1:5" x14ac:dyDescent="0.45">
      <c r="A67" s="6">
        <v>3045388</v>
      </c>
      <c r="B67" t="s">
        <v>75</v>
      </c>
      <c r="C67" t="s">
        <v>74</v>
      </c>
      <c r="D67" s="22">
        <v>45817.4547453704</v>
      </c>
      <c r="E67" s="5" t="s">
        <v>178</v>
      </c>
    </row>
    <row r="68" spans="1:5" x14ac:dyDescent="0.45">
      <c r="A68" s="6">
        <v>3045321</v>
      </c>
      <c r="B68" t="s">
        <v>75</v>
      </c>
      <c r="C68" t="s">
        <v>74</v>
      </c>
      <c r="D68" s="22">
        <v>45814.524641203701</v>
      </c>
      <c r="E68" s="5" t="s">
        <v>178</v>
      </c>
    </row>
    <row r="69" spans="1:5" x14ac:dyDescent="0.45">
      <c r="A69" s="6">
        <v>3045163</v>
      </c>
      <c r="B69" t="s">
        <v>75</v>
      </c>
      <c r="C69" t="s">
        <v>74</v>
      </c>
      <c r="D69" s="22">
        <v>45811.571099537003</v>
      </c>
      <c r="E69" s="5" t="s">
        <v>178</v>
      </c>
    </row>
    <row r="70" spans="1:5" x14ac:dyDescent="0.45">
      <c r="A70" s="6">
        <v>3045267</v>
      </c>
      <c r="B70" t="s">
        <v>92</v>
      </c>
      <c r="C70" t="s">
        <v>137</v>
      </c>
      <c r="D70" s="22">
        <v>45813.5552314815</v>
      </c>
      <c r="E70" s="5" t="s">
        <v>178</v>
      </c>
    </row>
    <row r="71" spans="1:5" x14ac:dyDescent="0.45">
      <c r="A71" s="6">
        <v>3046389</v>
      </c>
      <c r="B71" t="s">
        <v>93</v>
      </c>
      <c r="C71" t="s">
        <v>58</v>
      </c>
      <c r="D71" s="22">
        <v>45838.496111111097</v>
      </c>
      <c r="E71" s="5" t="s">
        <v>178</v>
      </c>
    </row>
    <row r="72" spans="1:5" x14ac:dyDescent="0.45">
      <c r="A72" s="6">
        <v>3046388</v>
      </c>
      <c r="B72" t="s">
        <v>93</v>
      </c>
      <c r="C72" t="s">
        <v>58</v>
      </c>
      <c r="D72" s="22">
        <v>45838.488217592603</v>
      </c>
      <c r="E72" s="5" t="s">
        <v>178</v>
      </c>
    </row>
    <row r="73" spans="1:5" x14ac:dyDescent="0.45">
      <c r="A73" s="6">
        <v>3045959</v>
      </c>
      <c r="B73" t="s">
        <v>93</v>
      </c>
      <c r="C73" t="s">
        <v>58</v>
      </c>
      <c r="D73" s="22">
        <v>45828.457465277803</v>
      </c>
      <c r="E73" s="5" t="s">
        <v>178</v>
      </c>
    </row>
    <row r="74" spans="1:5" x14ac:dyDescent="0.45">
      <c r="A74" s="6">
        <v>3045711</v>
      </c>
      <c r="B74" t="s">
        <v>93</v>
      </c>
      <c r="C74" t="s">
        <v>58</v>
      </c>
      <c r="D74" s="22">
        <v>45821.687384259298</v>
      </c>
      <c r="E74" s="5" t="s">
        <v>178</v>
      </c>
    </row>
    <row r="75" spans="1:5" x14ac:dyDescent="0.45">
      <c r="A75" s="6">
        <v>3045710</v>
      </c>
      <c r="B75" t="s">
        <v>93</v>
      </c>
      <c r="C75" t="s">
        <v>58</v>
      </c>
      <c r="D75" s="22">
        <v>45821.686527777798</v>
      </c>
      <c r="E75" s="5" t="s">
        <v>178</v>
      </c>
    </row>
    <row r="76" spans="1:5" x14ac:dyDescent="0.45">
      <c r="A76" s="6">
        <v>3045045</v>
      </c>
      <c r="B76" t="s">
        <v>93</v>
      </c>
      <c r="C76" t="s">
        <v>58</v>
      </c>
      <c r="D76" s="22">
        <v>45810.403946759303</v>
      </c>
      <c r="E76" s="5" t="s">
        <v>178</v>
      </c>
    </row>
    <row r="77" spans="1:5" x14ac:dyDescent="0.45">
      <c r="A77" s="6">
        <v>3046242</v>
      </c>
      <c r="B77" t="s">
        <v>94</v>
      </c>
      <c r="C77" t="s">
        <v>142</v>
      </c>
      <c r="D77" s="22">
        <v>45834.479861111096</v>
      </c>
      <c r="E77" s="5" t="s">
        <v>178</v>
      </c>
    </row>
    <row r="78" spans="1:5" x14ac:dyDescent="0.45">
      <c r="A78" s="6">
        <v>3046241</v>
      </c>
      <c r="B78" t="s">
        <v>94</v>
      </c>
      <c r="C78" t="s">
        <v>142</v>
      </c>
      <c r="D78" s="22">
        <v>45834.478877314803</v>
      </c>
      <c r="E78" s="5" t="s">
        <v>178</v>
      </c>
    </row>
    <row r="79" spans="1:5" x14ac:dyDescent="0.45">
      <c r="A79" s="6">
        <v>3046234</v>
      </c>
      <c r="B79" t="s">
        <v>94</v>
      </c>
      <c r="C79" t="s">
        <v>142</v>
      </c>
      <c r="D79" s="22">
        <v>45834.461967592601</v>
      </c>
      <c r="E79" s="5" t="s">
        <v>178</v>
      </c>
    </row>
    <row r="80" spans="1:5" x14ac:dyDescent="0.45">
      <c r="A80" s="6">
        <v>3046006</v>
      </c>
      <c r="B80" t="s">
        <v>95</v>
      </c>
      <c r="C80" t="s">
        <v>144</v>
      </c>
      <c r="D80" s="22">
        <v>45829.430914351899</v>
      </c>
      <c r="E80" s="5" t="s">
        <v>178</v>
      </c>
    </row>
    <row r="81" spans="1:5" ht="14.65" thickBot="1" x14ac:dyDescent="0.5">
      <c r="A81" s="8">
        <v>3045820</v>
      </c>
      <c r="B81" s="9" t="s">
        <v>96</v>
      </c>
      <c r="C81" s="9" t="s">
        <v>140</v>
      </c>
      <c r="D81" s="23">
        <v>45825.508900462999</v>
      </c>
      <c r="E81" s="17" t="s">
        <v>178</v>
      </c>
    </row>
  </sheetData>
  <mergeCells count="2">
    <mergeCell ref="A27:E27"/>
    <mergeCell ref="G27:K27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D93A-207C-42CC-9F6A-E66F6309D861}">
  <sheetPr codeName="Sheet16"/>
  <dimension ref="A1:F24"/>
  <sheetViews>
    <sheetView workbookViewId="0">
      <selection activeCell="G33" sqref="G33"/>
    </sheetView>
  </sheetViews>
  <sheetFormatPr defaultRowHeight="14.25" x14ac:dyDescent="0.45"/>
  <cols>
    <col min="1" max="1" width="9.73046875" bestFit="1" customWidth="1"/>
    <col min="3" max="3" width="12.86328125" bestFit="1" customWidth="1"/>
  </cols>
  <sheetData>
    <row r="1" spans="1:6" x14ac:dyDescent="0.45">
      <c r="A1" t="s">
        <v>23</v>
      </c>
      <c r="B1" t="s">
        <v>97</v>
      </c>
      <c r="C1" t="s">
        <v>167</v>
      </c>
      <c r="D1" t="s">
        <v>99</v>
      </c>
      <c r="E1" t="s">
        <v>18</v>
      </c>
      <c r="F1" t="s">
        <v>21</v>
      </c>
    </row>
    <row r="2" spans="1:6" x14ac:dyDescent="0.45">
      <c r="A2" s="1">
        <v>45839</v>
      </c>
      <c r="B2">
        <v>8</v>
      </c>
      <c r="C2">
        <v>11</v>
      </c>
      <c r="D2" s="2">
        <f>SUM(B2/C2)</f>
        <v>0.72727272727272729</v>
      </c>
      <c r="E2" s="2">
        <v>0.8</v>
      </c>
    </row>
    <row r="3" spans="1:6" x14ac:dyDescent="0.45">
      <c r="A3" s="1">
        <v>45840</v>
      </c>
      <c r="B3">
        <v>6</v>
      </c>
      <c r="C3">
        <v>11</v>
      </c>
      <c r="D3" s="2">
        <f t="shared" ref="D3:D23" si="0">SUM(B3/C3)</f>
        <v>0.54545454545454541</v>
      </c>
      <c r="E3" s="2">
        <v>0.8</v>
      </c>
    </row>
    <row r="4" spans="1:6" x14ac:dyDescent="0.45">
      <c r="A4" s="1">
        <v>45841</v>
      </c>
      <c r="B4">
        <v>7</v>
      </c>
      <c r="C4">
        <v>11</v>
      </c>
      <c r="D4" s="2">
        <f t="shared" si="0"/>
        <v>0.63636363636363635</v>
      </c>
      <c r="E4" s="2">
        <v>0.8</v>
      </c>
    </row>
    <row r="5" spans="1:6" x14ac:dyDescent="0.45">
      <c r="A5" s="1">
        <v>45845</v>
      </c>
      <c r="B5">
        <v>7</v>
      </c>
      <c r="C5">
        <v>11</v>
      </c>
      <c r="D5" s="2">
        <f t="shared" si="0"/>
        <v>0.63636363636363635</v>
      </c>
      <c r="E5" s="2">
        <v>0.8</v>
      </c>
    </row>
    <row r="6" spans="1:6" x14ac:dyDescent="0.45">
      <c r="A6" s="1">
        <v>45846</v>
      </c>
      <c r="B6">
        <v>9</v>
      </c>
      <c r="C6">
        <v>11</v>
      </c>
      <c r="D6" s="2">
        <f t="shared" si="0"/>
        <v>0.81818181818181823</v>
      </c>
      <c r="E6" s="2">
        <v>0.8</v>
      </c>
      <c r="F6">
        <v>1</v>
      </c>
    </row>
    <row r="7" spans="1:6" x14ac:dyDescent="0.45">
      <c r="A7" s="1">
        <v>45847</v>
      </c>
      <c r="B7">
        <v>9</v>
      </c>
      <c r="C7">
        <v>11</v>
      </c>
      <c r="D7" s="2">
        <f t="shared" si="0"/>
        <v>0.81818181818181823</v>
      </c>
      <c r="E7" s="2">
        <v>0.8</v>
      </c>
      <c r="F7">
        <v>1</v>
      </c>
    </row>
    <row r="8" spans="1:6" x14ac:dyDescent="0.45">
      <c r="A8" s="1">
        <v>45848</v>
      </c>
      <c r="B8">
        <v>8</v>
      </c>
      <c r="C8">
        <v>11</v>
      </c>
      <c r="D8" s="2">
        <f t="shared" si="0"/>
        <v>0.72727272727272729</v>
      </c>
      <c r="E8" s="2">
        <v>0.8</v>
      </c>
    </row>
    <row r="9" spans="1:6" x14ac:dyDescent="0.45">
      <c r="A9" s="1">
        <v>45849</v>
      </c>
      <c r="B9">
        <v>8</v>
      </c>
      <c r="C9">
        <v>11</v>
      </c>
      <c r="D9" s="2">
        <f t="shared" si="0"/>
        <v>0.72727272727272729</v>
      </c>
      <c r="E9" s="2">
        <v>0.8</v>
      </c>
    </row>
    <row r="10" spans="1:6" x14ac:dyDescent="0.45">
      <c r="A10" s="1">
        <v>45852</v>
      </c>
      <c r="B10">
        <v>8</v>
      </c>
      <c r="C10">
        <v>11</v>
      </c>
      <c r="D10" s="2">
        <f t="shared" si="0"/>
        <v>0.72727272727272729</v>
      </c>
      <c r="E10" s="2">
        <v>0.8</v>
      </c>
    </row>
    <row r="11" spans="1:6" x14ac:dyDescent="0.45">
      <c r="A11" s="1">
        <v>45853</v>
      </c>
      <c r="B11">
        <v>10</v>
      </c>
      <c r="C11">
        <v>11</v>
      </c>
      <c r="D11" s="2">
        <f t="shared" si="0"/>
        <v>0.90909090909090906</v>
      </c>
      <c r="E11" s="2">
        <v>0.8</v>
      </c>
      <c r="F11">
        <v>1</v>
      </c>
    </row>
    <row r="12" spans="1:6" x14ac:dyDescent="0.45">
      <c r="A12" s="1">
        <v>45854</v>
      </c>
      <c r="B12">
        <v>11</v>
      </c>
      <c r="C12">
        <v>11</v>
      </c>
      <c r="D12" s="2">
        <f t="shared" si="0"/>
        <v>1</v>
      </c>
      <c r="E12" s="2">
        <v>0.8</v>
      </c>
      <c r="F12">
        <v>1</v>
      </c>
    </row>
    <row r="13" spans="1:6" x14ac:dyDescent="0.45">
      <c r="A13" s="1">
        <v>45855</v>
      </c>
      <c r="B13">
        <v>10</v>
      </c>
      <c r="C13">
        <v>11</v>
      </c>
      <c r="D13" s="2">
        <f t="shared" si="0"/>
        <v>0.90909090909090906</v>
      </c>
      <c r="E13" s="2">
        <v>0.8</v>
      </c>
      <c r="F13">
        <v>1</v>
      </c>
    </row>
    <row r="14" spans="1:6" x14ac:dyDescent="0.45">
      <c r="A14" s="1">
        <v>45856</v>
      </c>
      <c r="B14">
        <v>10</v>
      </c>
      <c r="C14">
        <v>11</v>
      </c>
      <c r="D14" s="2">
        <f t="shared" si="0"/>
        <v>0.90909090909090906</v>
      </c>
      <c r="E14" s="2">
        <v>0.8</v>
      </c>
      <c r="F14">
        <v>1</v>
      </c>
    </row>
    <row r="15" spans="1:6" x14ac:dyDescent="0.45">
      <c r="A15" s="1">
        <v>45859</v>
      </c>
      <c r="B15">
        <v>7</v>
      </c>
      <c r="C15">
        <v>10</v>
      </c>
      <c r="D15" s="2">
        <f t="shared" si="0"/>
        <v>0.7</v>
      </c>
      <c r="E15" s="2">
        <v>0.8</v>
      </c>
    </row>
    <row r="16" spans="1:6" x14ac:dyDescent="0.45">
      <c r="A16" s="1">
        <v>45860</v>
      </c>
      <c r="B16">
        <v>8</v>
      </c>
      <c r="C16">
        <v>10</v>
      </c>
      <c r="D16" s="2">
        <f t="shared" si="0"/>
        <v>0.8</v>
      </c>
      <c r="E16" s="2">
        <v>0.8</v>
      </c>
      <c r="F16">
        <v>1</v>
      </c>
    </row>
    <row r="17" spans="1:6" x14ac:dyDescent="0.45">
      <c r="A17" s="1">
        <v>45861</v>
      </c>
      <c r="B17">
        <v>10</v>
      </c>
      <c r="C17">
        <v>10</v>
      </c>
      <c r="D17" s="2">
        <f t="shared" si="0"/>
        <v>1</v>
      </c>
      <c r="E17" s="2">
        <v>0.8</v>
      </c>
      <c r="F17">
        <v>1</v>
      </c>
    </row>
    <row r="18" spans="1:6" x14ac:dyDescent="0.45">
      <c r="A18" s="1">
        <v>45862</v>
      </c>
      <c r="B18">
        <v>10</v>
      </c>
      <c r="C18">
        <v>10</v>
      </c>
      <c r="D18" s="2">
        <f t="shared" si="0"/>
        <v>1</v>
      </c>
      <c r="E18" s="2">
        <v>0.8</v>
      </c>
      <c r="F18">
        <v>1</v>
      </c>
    </row>
    <row r="19" spans="1:6" x14ac:dyDescent="0.45">
      <c r="A19" s="1">
        <v>45863</v>
      </c>
      <c r="B19">
        <v>10</v>
      </c>
      <c r="C19">
        <v>10</v>
      </c>
      <c r="D19" s="2">
        <f t="shared" si="0"/>
        <v>1</v>
      </c>
      <c r="E19" s="2">
        <v>0.8</v>
      </c>
      <c r="F19">
        <v>1</v>
      </c>
    </row>
    <row r="20" spans="1:6" x14ac:dyDescent="0.45">
      <c r="A20" s="1">
        <v>45866</v>
      </c>
      <c r="B20">
        <v>7</v>
      </c>
      <c r="C20">
        <v>10</v>
      </c>
      <c r="D20" s="2">
        <f t="shared" si="0"/>
        <v>0.7</v>
      </c>
      <c r="E20" s="2">
        <v>0.8</v>
      </c>
    </row>
    <row r="21" spans="1:6" x14ac:dyDescent="0.45">
      <c r="A21" s="1">
        <v>45867</v>
      </c>
      <c r="B21">
        <v>10</v>
      </c>
      <c r="C21">
        <v>10</v>
      </c>
      <c r="D21" s="2">
        <f t="shared" si="0"/>
        <v>1</v>
      </c>
      <c r="E21" s="2">
        <v>0.8</v>
      </c>
      <c r="F21">
        <v>1</v>
      </c>
    </row>
    <row r="22" spans="1:6" x14ac:dyDescent="0.45">
      <c r="A22" s="1">
        <v>45868</v>
      </c>
      <c r="B22">
        <v>9</v>
      </c>
      <c r="C22">
        <v>10</v>
      </c>
      <c r="D22" s="2">
        <f t="shared" si="0"/>
        <v>0.9</v>
      </c>
      <c r="E22" s="2">
        <v>0.8</v>
      </c>
      <c r="F22">
        <v>1</v>
      </c>
    </row>
    <row r="23" spans="1:6" x14ac:dyDescent="0.45">
      <c r="A23" s="1">
        <v>45869</v>
      </c>
      <c r="B23">
        <v>9</v>
      </c>
      <c r="C23">
        <v>10</v>
      </c>
      <c r="D23" s="2">
        <f t="shared" si="0"/>
        <v>0.9</v>
      </c>
      <c r="E23" s="2">
        <v>0.8</v>
      </c>
      <c r="F23">
        <v>1</v>
      </c>
    </row>
    <row r="24" spans="1:6" x14ac:dyDescent="0.45">
      <c r="A24" t="s">
        <v>20</v>
      </c>
      <c r="B24" s="20">
        <f>AVERAGE(B2:B23)</f>
        <v>8.6818181818181817</v>
      </c>
      <c r="C24" s="20">
        <f>AVERAGE(C2:C23)</f>
        <v>10.590909090909092</v>
      </c>
      <c r="D24" s="2">
        <f>B24/C24</f>
        <v>0.81974248927038618</v>
      </c>
      <c r="E24" s="2"/>
      <c r="F24">
        <f>COUNT(F2:F23)</f>
        <v>13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1E93-9868-437A-A03A-BB9D598DE731}">
  <sheetPr codeName="Sheet17"/>
  <dimension ref="A1:K81"/>
  <sheetViews>
    <sheetView workbookViewId="0">
      <selection activeCell="I75" sqref="I75"/>
    </sheetView>
  </sheetViews>
  <sheetFormatPr defaultRowHeight="14.25" x14ac:dyDescent="0.45"/>
  <cols>
    <col min="1" max="1" width="15.265625" bestFit="1" customWidth="1"/>
    <col min="2" max="2" width="14.59765625" bestFit="1" customWidth="1"/>
    <col min="3" max="3" width="20.1328125" bestFit="1" customWidth="1"/>
    <col min="4" max="4" width="20.73046875" bestFit="1" customWidth="1"/>
    <col min="5" max="5" width="15.86328125" customWidth="1"/>
    <col min="7" max="7" width="9.73046875" bestFit="1" customWidth="1"/>
    <col min="8" max="8" width="19.86328125" bestFit="1" customWidth="1"/>
    <col min="9" max="9" width="10.73046875" bestFit="1" customWidth="1"/>
    <col min="10" max="10" width="13.1328125" bestFit="1" customWidth="1"/>
    <col min="11" max="11" width="21.86328125" bestFit="1" customWidth="1"/>
  </cols>
  <sheetData>
    <row r="1" spans="1:5" x14ac:dyDescent="0.45">
      <c r="A1" t="s">
        <v>25</v>
      </c>
      <c r="B1" s="3" t="s">
        <v>146</v>
      </c>
      <c r="C1" s="3" t="s">
        <v>81</v>
      </c>
      <c r="D1" s="3" t="s">
        <v>100</v>
      </c>
      <c r="E1" s="3" t="s">
        <v>101</v>
      </c>
    </row>
    <row r="2" spans="1:5" x14ac:dyDescent="0.45">
      <c r="A2" t="s">
        <v>82</v>
      </c>
      <c r="B2" s="3"/>
      <c r="C2" s="3"/>
      <c r="D2" s="3"/>
      <c r="E2" s="3"/>
    </row>
    <row r="3" spans="1:5" x14ac:dyDescent="0.45">
      <c r="A3" t="s">
        <v>37</v>
      </c>
      <c r="B3" s="3"/>
      <c r="C3" s="3"/>
      <c r="D3" s="3"/>
      <c r="E3" s="3"/>
    </row>
    <row r="4" spans="1:5" x14ac:dyDescent="0.45">
      <c r="A4" t="s">
        <v>83</v>
      </c>
      <c r="B4" s="3"/>
      <c r="C4" s="3"/>
      <c r="D4" s="3"/>
      <c r="E4" s="3"/>
    </row>
    <row r="5" spans="1:5" x14ac:dyDescent="0.45">
      <c r="A5" t="s">
        <v>84</v>
      </c>
      <c r="B5" s="3"/>
      <c r="C5" s="3"/>
      <c r="D5" s="3"/>
      <c r="E5" s="3">
        <v>1</v>
      </c>
    </row>
    <row r="6" spans="1:5" x14ac:dyDescent="0.45">
      <c r="A6" t="s">
        <v>46</v>
      </c>
      <c r="B6" s="3"/>
      <c r="C6" s="3"/>
      <c r="D6" s="3"/>
      <c r="E6" s="3"/>
    </row>
    <row r="7" spans="1:5" x14ac:dyDescent="0.45">
      <c r="A7" t="s">
        <v>85</v>
      </c>
      <c r="B7" s="3"/>
      <c r="C7" s="3"/>
      <c r="D7" s="3"/>
      <c r="E7" s="3"/>
    </row>
    <row r="8" spans="1:5" x14ac:dyDescent="0.45">
      <c r="A8" t="s">
        <v>86</v>
      </c>
      <c r="B8" s="3"/>
      <c r="C8" s="3"/>
      <c r="D8" s="3"/>
      <c r="E8" s="3"/>
    </row>
    <row r="9" spans="1:5" x14ac:dyDescent="0.45">
      <c r="A9" t="s">
        <v>87</v>
      </c>
      <c r="B9" s="3"/>
      <c r="C9" s="3"/>
      <c r="D9" s="3"/>
      <c r="E9" s="3"/>
    </row>
    <row r="10" spans="1:5" x14ac:dyDescent="0.45">
      <c r="A10" t="s">
        <v>54</v>
      </c>
      <c r="B10" s="3"/>
      <c r="C10" s="3"/>
      <c r="D10" s="3"/>
      <c r="E10" s="3"/>
    </row>
    <row r="11" spans="1:5" x14ac:dyDescent="0.45">
      <c r="A11" t="s">
        <v>88</v>
      </c>
      <c r="B11" s="3"/>
      <c r="C11" s="3"/>
      <c r="D11" s="3"/>
      <c r="E11" s="3"/>
    </row>
    <row r="12" spans="1:5" x14ac:dyDescent="0.45">
      <c r="A12" t="s">
        <v>89</v>
      </c>
      <c r="B12" s="3"/>
      <c r="C12" s="3"/>
      <c r="D12" s="3"/>
      <c r="E12" s="3"/>
    </row>
    <row r="13" spans="1:5" x14ac:dyDescent="0.45">
      <c r="A13" t="s">
        <v>59</v>
      </c>
      <c r="B13" s="3"/>
      <c r="C13" s="3"/>
      <c r="D13" s="3"/>
      <c r="E13" s="3"/>
    </row>
    <row r="14" spans="1:5" x14ac:dyDescent="0.45">
      <c r="A14" t="s">
        <v>90</v>
      </c>
      <c r="B14" s="3"/>
      <c r="C14" s="3"/>
      <c r="D14" s="3"/>
      <c r="E14" s="3"/>
    </row>
    <row r="15" spans="1:5" x14ac:dyDescent="0.45">
      <c r="A15" t="s">
        <v>66</v>
      </c>
      <c r="B15" s="3"/>
      <c r="C15" s="3"/>
      <c r="D15" s="3"/>
      <c r="E15" s="3"/>
    </row>
    <row r="16" spans="1:5" x14ac:dyDescent="0.45">
      <c r="A16" t="s">
        <v>68</v>
      </c>
      <c r="B16" s="3"/>
      <c r="C16" s="3"/>
      <c r="D16" s="3"/>
      <c r="E16" s="3"/>
    </row>
    <row r="17" spans="1:11" x14ac:dyDescent="0.45">
      <c r="A17" t="s">
        <v>91</v>
      </c>
      <c r="B17" s="3"/>
      <c r="C17" s="3"/>
      <c r="D17" s="3"/>
      <c r="E17" s="3">
        <v>1</v>
      </c>
    </row>
    <row r="18" spans="1:11" x14ac:dyDescent="0.45">
      <c r="A18" t="s">
        <v>75</v>
      </c>
      <c r="B18" s="3"/>
      <c r="C18" s="3"/>
      <c r="D18" s="3"/>
      <c r="E18" s="3"/>
    </row>
    <row r="19" spans="1:11" x14ac:dyDescent="0.45">
      <c r="A19" t="s">
        <v>92</v>
      </c>
      <c r="B19" s="3"/>
      <c r="C19" s="3"/>
      <c r="D19" s="3"/>
      <c r="E19" s="3"/>
    </row>
    <row r="20" spans="1:11" x14ac:dyDescent="0.45">
      <c r="A20" t="s">
        <v>93</v>
      </c>
      <c r="B20" s="3"/>
      <c r="C20" s="3"/>
      <c r="D20" s="3"/>
      <c r="E20" s="3"/>
    </row>
    <row r="21" spans="1:11" x14ac:dyDescent="0.45">
      <c r="A21" t="s">
        <v>78</v>
      </c>
      <c r="B21" s="3"/>
      <c r="C21" s="3"/>
      <c r="D21" s="3"/>
      <c r="E21" s="3"/>
    </row>
    <row r="22" spans="1:11" x14ac:dyDescent="0.45">
      <c r="A22" t="s">
        <v>94</v>
      </c>
      <c r="B22" s="3"/>
      <c r="C22" s="3"/>
      <c r="D22" s="3"/>
      <c r="E22" s="3"/>
    </row>
    <row r="23" spans="1:11" x14ac:dyDescent="0.45">
      <c r="A23" t="s">
        <v>95</v>
      </c>
      <c r="B23" s="3"/>
      <c r="C23" s="3"/>
      <c r="D23" s="3"/>
      <c r="E23" s="3"/>
    </row>
    <row r="24" spans="1:11" x14ac:dyDescent="0.45">
      <c r="A24" t="s">
        <v>96</v>
      </c>
      <c r="B24" s="3"/>
      <c r="C24" s="3"/>
      <c r="D24" s="3"/>
      <c r="E24" s="3"/>
    </row>
    <row r="25" spans="1:11" x14ac:dyDescent="0.45">
      <c r="A25" t="s">
        <v>16</v>
      </c>
      <c r="B25" s="3">
        <f>SUM(B2:B24)</f>
        <v>0</v>
      </c>
      <c r="C25" s="3">
        <f>SUM(C2:C24)</f>
        <v>0</v>
      </c>
      <c r="D25" s="3">
        <f t="shared" ref="D25:E25" si="0">SUM(D2:D24)</f>
        <v>0</v>
      </c>
      <c r="E25" s="3">
        <f t="shared" si="0"/>
        <v>2</v>
      </c>
    </row>
    <row r="26" spans="1:11" ht="14.65" thickBot="1" x14ac:dyDescent="0.5">
      <c r="A26" s="9"/>
      <c r="B26" s="9"/>
      <c r="C26" s="9"/>
      <c r="D26" s="9"/>
      <c r="E26" s="9"/>
    </row>
    <row r="27" spans="1:11" x14ac:dyDescent="0.45">
      <c r="A27" s="26" t="s">
        <v>102</v>
      </c>
      <c r="B27" s="27"/>
      <c r="C27" s="27"/>
      <c r="D27" s="27"/>
      <c r="E27" s="28"/>
      <c r="G27" s="26" t="s">
        <v>22</v>
      </c>
      <c r="H27" s="27"/>
      <c r="I27" s="27"/>
      <c r="J27" s="27"/>
      <c r="K27" s="28"/>
    </row>
    <row r="28" spans="1:11" x14ac:dyDescent="0.45">
      <c r="A28" s="4" t="s">
        <v>103</v>
      </c>
      <c r="B28" t="s">
        <v>104</v>
      </c>
      <c r="C28" t="s">
        <v>106</v>
      </c>
      <c r="D28" t="s">
        <v>107</v>
      </c>
      <c r="E28" s="5" t="s">
        <v>177</v>
      </c>
      <c r="G28" s="11" t="s">
        <v>23</v>
      </c>
      <c r="H28" s="3" t="s">
        <v>24</v>
      </c>
      <c r="I28" s="3" t="s">
        <v>25</v>
      </c>
      <c r="J28" s="3" t="s">
        <v>26</v>
      </c>
      <c r="K28" s="12" t="s">
        <v>27</v>
      </c>
    </row>
    <row r="29" spans="1:11" x14ac:dyDescent="0.45">
      <c r="A29" s="6"/>
      <c r="D29" s="22"/>
      <c r="E29" s="5"/>
      <c r="G29" s="13"/>
      <c r="K29" s="5"/>
    </row>
    <row r="30" spans="1:11" x14ac:dyDescent="0.45">
      <c r="A30" s="6"/>
      <c r="D30" s="22"/>
      <c r="E30" s="5"/>
      <c r="G30" s="13"/>
      <c r="K30" s="5"/>
    </row>
    <row r="31" spans="1:11" x14ac:dyDescent="0.45">
      <c r="A31" s="6"/>
      <c r="D31" s="22"/>
      <c r="E31" s="5"/>
      <c r="G31" s="13"/>
      <c r="K31" s="5"/>
    </row>
    <row r="32" spans="1:11" x14ac:dyDescent="0.45">
      <c r="A32" s="6"/>
      <c r="D32" s="22"/>
      <c r="E32" s="5"/>
      <c r="G32" s="13"/>
      <c r="K32" s="5"/>
    </row>
    <row r="33" spans="1:11" x14ac:dyDescent="0.45">
      <c r="A33" s="6"/>
      <c r="D33" s="22"/>
      <c r="E33" s="5"/>
      <c r="G33" s="13"/>
      <c r="K33" s="5"/>
    </row>
    <row r="34" spans="1:11" x14ac:dyDescent="0.45">
      <c r="A34" s="6"/>
      <c r="D34" s="22"/>
      <c r="E34" s="5"/>
      <c r="G34" s="13"/>
      <c r="K34" s="5"/>
    </row>
    <row r="35" spans="1:11" x14ac:dyDescent="0.45">
      <c r="A35" s="6"/>
      <c r="D35" s="22"/>
      <c r="E35" s="5"/>
      <c r="G35" s="13"/>
      <c r="K35" s="5"/>
    </row>
    <row r="36" spans="1:11" x14ac:dyDescent="0.45">
      <c r="A36" s="6"/>
      <c r="D36" s="22"/>
      <c r="E36" s="5"/>
      <c r="G36" s="13"/>
      <c r="K36" s="5"/>
    </row>
    <row r="37" spans="1:11" x14ac:dyDescent="0.45">
      <c r="A37" s="6"/>
      <c r="D37" s="22"/>
      <c r="E37" s="5"/>
      <c r="G37" s="13"/>
      <c r="K37" s="5"/>
    </row>
    <row r="38" spans="1:11" x14ac:dyDescent="0.45">
      <c r="A38" s="6"/>
      <c r="D38" s="22"/>
      <c r="E38" s="5"/>
      <c r="G38" s="13"/>
      <c r="K38" s="5"/>
    </row>
    <row r="39" spans="1:11" ht="14.65" thickBot="1" x14ac:dyDescent="0.5">
      <c r="A39" s="6"/>
      <c r="D39" s="22"/>
      <c r="E39" s="5"/>
      <c r="G39" s="16"/>
      <c r="H39" s="9"/>
      <c r="I39" s="9"/>
      <c r="J39" s="9"/>
      <c r="K39" s="17"/>
    </row>
    <row r="40" spans="1:11" x14ac:dyDescent="0.45">
      <c r="A40" s="6"/>
      <c r="D40" s="22"/>
      <c r="E40" s="5"/>
    </row>
    <row r="41" spans="1:11" x14ac:dyDescent="0.45">
      <c r="A41" s="6"/>
      <c r="D41" s="22"/>
      <c r="E41" s="5"/>
    </row>
    <row r="42" spans="1:11" x14ac:dyDescent="0.45">
      <c r="A42" s="6"/>
      <c r="D42" s="22"/>
      <c r="E42" s="5"/>
    </row>
    <row r="43" spans="1:11" x14ac:dyDescent="0.45">
      <c r="A43" s="6"/>
      <c r="D43" s="22"/>
      <c r="E43" s="5"/>
    </row>
    <row r="44" spans="1:11" x14ac:dyDescent="0.45">
      <c r="A44" s="6"/>
      <c r="D44" s="22"/>
      <c r="E44" s="5"/>
    </row>
    <row r="45" spans="1:11" x14ac:dyDescent="0.45">
      <c r="A45" s="6"/>
      <c r="D45" s="22"/>
      <c r="E45" s="5"/>
    </row>
    <row r="46" spans="1:11" x14ac:dyDescent="0.45">
      <c r="A46" s="6"/>
      <c r="D46" s="22"/>
      <c r="E46" s="5"/>
    </row>
    <row r="47" spans="1:11" x14ac:dyDescent="0.45">
      <c r="A47" s="6"/>
      <c r="D47" s="22"/>
      <c r="E47" s="5"/>
    </row>
    <row r="48" spans="1:11" x14ac:dyDescent="0.45">
      <c r="A48" s="6"/>
      <c r="D48" s="22"/>
      <c r="E48" s="5"/>
    </row>
    <row r="49" spans="1:5" x14ac:dyDescent="0.45">
      <c r="A49" s="6"/>
      <c r="D49" s="22"/>
      <c r="E49" s="5"/>
    </row>
    <row r="50" spans="1:5" x14ac:dyDescent="0.45">
      <c r="A50" s="6"/>
      <c r="D50" s="22"/>
      <c r="E50" s="5"/>
    </row>
    <row r="51" spans="1:5" x14ac:dyDescent="0.45">
      <c r="A51" s="6"/>
      <c r="D51" s="22"/>
      <c r="E51" s="5"/>
    </row>
    <row r="52" spans="1:5" x14ac:dyDescent="0.45">
      <c r="A52" s="6"/>
      <c r="D52" s="22"/>
      <c r="E52" s="5"/>
    </row>
    <row r="53" spans="1:5" x14ac:dyDescent="0.45">
      <c r="A53" s="6"/>
      <c r="D53" s="22"/>
      <c r="E53" s="5"/>
    </row>
    <row r="54" spans="1:5" x14ac:dyDescent="0.45">
      <c r="A54" s="6"/>
      <c r="D54" s="22"/>
      <c r="E54" s="5"/>
    </row>
    <row r="55" spans="1:5" x14ac:dyDescent="0.45">
      <c r="A55" s="6"/>
      <c r="D55" s="22"/>
      <c r="E55" s="5"/>
    </row>
    <row r="56" spans="1:5" x14ac:dyDescent="0.45">
      <c r="A56" s="6"/>
      <c r="D56" s="22"/>
      <c r="E56" s="5"/>
    </row>
    <row r="57" spans="1:5" x14ac:dyDescent="0.45">
      <c r="A57" s="6"/>
      <c r="D57" s="22"/>
      <c r="E57" s="5"/>
    </row>
    <row r="58" spans="1:5" x14ac:dyDescent="0.45">
      <c r="A58" s="6"/>
      <c r="D58" s="22"/>
      <c r="E58" s="5"/>
    </row>
    <row r="59" spans="1:5" x14ac:dyDescent="0.45">
      <c r="A59" s="6"/>
      <c r="D59" s="22"/>
      <c r="E59" s="5"/>
    </row>
    <row r="60" spans="1:5" x14ac:dyDescent="0.45">
      <c r="A60" s="6"/>
      <c r="D60" s="22"/>
      <c r="E60" s="5"/>
    </row>
    <row r="61" spans="1:5" x14ac:dyDescent="0.45">
      <c r="A61" s="6"/>
      <c r="D61" s="22"/>
      <c r="E61" s="5"/>
    </row>
    <row r="62" spans="1:5" x14ac:dyDescent="0.45">
      <c r="A62" s="6"/>
      <c r="D62" s="22"/>
      <c r="E62" s="5"/>
    </row>
    <row r="63" spans="1:5" x14ac:dyDescent="0.45">
      <c r="A63" s="6"/>
      <c r="D63" s="22"/>
      <c r="E63" s="5"/>
    </row>
    <row r="64" spans="1:5" x14ac:dyDescent="0.45">
      <c r="A64" s="6"/>
      <c r="D64" s="22"/>
      <c r="E64" s="5"/>
    </row>
    <row r="65" spans="1:5" x14ac:dyDescent="0.45">
      <c r="A65" s="6"/>
      <c r="D65" s="22"/>
      <c r="E65" s="5"/>
    </row>
    <row r="66" spans="1:5" x14ac:dyDescent="0.45">
      <c r="A66" s="6"/>
      <c r="D66" s="22"/>
      <c r="E66" s="5"/>
    </row>
    <row r="67" spans="1:5" x14ac:dyDescent="0.45">
      <c r="A67" s="6"/>
      <c r="D67" s="22"/>
      <c r="E67" s="5"/>
    </row>
    <row r="68" spans="1:5" x14ac:dyDescent="0.45">
      <c r="A68" s="6"/>
      <c r="D68" s="22"/>
      <c r="E68" s="5"/>
    </row>
    <row r="69" spans="1:5" x14ac:dyDescent="0.45">
      <c r="A69" s="6"/>
      <c r="D69" s="22"/>
      <c r="E69" s="5"/>
    </row>
    <row r="70" spans="1:5" x14ac:dyDescent="0.45">
      <c r="A70" s="6"/>
      <c r="D70" s="22"/>
      <c r="E70" s="5"/>
    </row>
    <row r="71" spans="1:5" x14ac:dyDescent="0.45">
      <c r="A71" s="6"/>
      <c r="D71" s="22"/>
      <c r="E71" s="5"/>
    </row>
    <row r="72" spans="1:5" x14ac:dyDescent="0.45">
      <c r="A72" s="6"/>
      <c r="D72" s="22"/>
      <c r="E72" s="5"/>
    </row>
    <row r="73" spans="1:5" x14ac:dyDescent="0.45">
      <c r="A73" s="6"/>
      <c r="D73" s="22"/>
      <c r="E73" s="5"/>
    </row>
    <row r="74" spans="1:5" x14ac:dyDescent="0.45">
      <c r="A74" s="6"/>
      <c r="D74" s="22"/>
      <c r="E74" s="5"/>
    </row>
    <row r="75" spans="1:5" x14ac:dyDescent="0.45">
      <c r="A75" s="6"/>
      <c r="D75" s="22"/>
      <c r="E75" s="5"/>
    </row>
    <row r="76" spans="1:5" x14ac:dyDescent="0.45">
      <c r="A76" s="6"/>
      <c r="D76" s="22"/>
      <c r="E76" s="5"/>
    </row>
    <row r="77" spans="1:5" x14ac:dyDescent="0.45">
      <c r="A77" s="6"/>
      <c r="D77" s="22"/>
      <c r="E77" s="5"/>
    </row>
    <row r="78" spans="1:5" x14ac:dyDescent="0.45">
      <c r="A78" s="6"/>
      <c r="D78" s="22"/>
      <c r="E78" s="5"/>
    </row>
    <row r="79" spans="1:5" x14ac:dyDescent="0.45">
      <c r="A79" s="6"/>
      <c r="D79" s="22"/>
      <c r="E79" s="5"/>
    </row>
    <row r="80" spans="1:5" x14ac:dyDescent="0.45">
      <c r="A80" s="6"/>
      <c r="D80" s="22"/>
      <c r="E80" s="5"/>
    </row>
    <row r="81" spans="1:5" ht="14.65" thickBot="1" x14ac:dyDescent="0.5">
      <c r="A81" s="8"/>
      <c r="B81" s="9"/>
      <c r="C81" s="9"/>
      <c r="D81" s="23"/>
      <c r="E81" s="17"/>
    </row>
  </sheetData>
  <mergeCells count="2">
    <mergeCell ref="A27:E27"/>
    <mergeCell ref="G27:K27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3F4D-8EAA-453F-991F-54B7CEA00A29}">
  <sheetPr codeName="Sheet18"/>
  <dimension ref="A1:F23"/>
  <sheetViews>
    <sheetView workbookViewId="0">
      <selection activeCell="F32" sqref="F32"/>
    </sheetView>
  </sheetViews>
  <sheetFormatPr defaultRowHeight="14.25" x14ac:dyDescent="0.45"/>
  <cols>
    <col min="1" max="1" width="9.73046875" bestFit="1" customWidth="1"/>
    <col min="3" max="3" width="12.86328125" bestFit="1" customWidth="1"/>
  </cols>
  <sheetData>
    <row r="1" spans="1:6" x14ac:dyDescent="0.45">
      <c r="A1" t="s">
        <v>23</v>
      </c>
      <c r="B1" t="s">
        <v>97</v>
      </c>
      <c r="C1" t="s">
        <v>167</v>
      </c>
      <c r="D1" t="s">
        <v>99</v>
      </c>
      <c r="E1" t="s">
        <v>18</v>
      </c>
      <c r="F1" t="s">
        <v>21</v>
      </c>
    </row>
    <row r="2" spans="1:6" x14ac:dyDescent="0.45">
      <c r="A2" s="1">
        <v>45870</v>
      </c>
      <c r="B2">
        <v>8</v>
      </c>
      <c r="C2">
        <v>10</v>
      </c>
      <c r="D2" s="2">
        <f>SUM(B2/C2)</f>
        <v>0.8</v>
      </c>
      <c r="E2" s="2">
        <v>0.8</v>
      </c>
      <c r="F2">
        <v>1</v>
      </c>
    </row>
    <row r="3" spans="1:6" x14ac:dyDescent="0.45">
      <c r="A3" s="1">
        <v>45873</v>
      </c>
      <c r="B3">
        <v>9</v>
      </c>
      <c r="C3">
        <v>10</v>
      </c>
      <c r="D3" s="2">
        <f t="shared" ref="D3:D22" si="0">SUM(B3/C3)</f>
        <v>0.9</v>
      </c>
      <c r="E3" s="2">
        <v>0.8</v>
      </c>
      <c r="F3">
        <v>1</v>
      </c>
    </row>
    <row r="4" spans="1:6" x14ac:dyDescent="0.45">
      <c r="A4" s="1">
        <v>45874</v>
      </c>
      <c r="B4">
        <v>10</v>
      </c>
      <c r="C4">
        <v>10</v>
      </c>
      <c r="D4" s="2">
        <f t="shared" si="0"/>
        <v>1</v>
      </c>
      <c r="E4" s="2">
        <v>0.8</v>
      </c>
      <c r="F4">
        <v>1</v>
      </c>
    </row>
    <row r="5" spans="1:6" x14ac:dyDescent="0.45">
      <c r="A5" s="1">
        <v>45875</v>
      </c>
      <c r="B5">
        <v>10</v>
      </c>
      <c r="C5">
        <v>10</v>
      </c>
      <c r="D5" s="2">
        <f t="shared" si="0"/>
        <v>1</v>
      </c>
      <c r="E5" s="2">
        <v>0.8</v>
      </c>
      <c r="F5">
        <v>1</v>
      </c>
    </row>
    <row r="6" spans="1:6" x14ac:dyDescent="0.45">
      <c r="A6" s="1">
        <v>45876</v>
      </c>
      <c r="B6">
        <v>9</v>
      </c>
      <c r="C6">
        <v>10</v>
      </c>
      <c r="D6" s="2">
        <f t="shared" si="0"/>
        <v>0.9</v>
      </c>
      <c r="E6" s="2">
        <v>0.8</v>
      </c>
      <c r="F6">
        <v>1</v>
      </c>
    </row>
    <row r="7" spans="1:6" x14ac:dyDescent="0.45">
      <c r="A7" s="1">
        <v>45877</v>
      </c>
      <c r="B7">
        <v>9</v>
      </c>
      <c r="C7">
        <v>10</v>
      </c>
      <c r="D7" s="2">
        <f t="shared" si="0"/>
        <v>0.9</v>
      </c>
      <c r="E7" s="2">
        <v>0.8</v>
      </c>
      <c r="F7">
        <v>1</v>
      </c>
    </row>
    <row r="8" spans="1:6" x14ac:dyDescent="0.45">
      <c r="A8" s="1">
        <v>45880</v>
      </c>
      <c r="B8">
        <v>7</v>
      </c>
      <c r="C8">
        <v>10</v>
      </c>
      <c r="D8" s="2">
        <f t="shared" si="0"/>
        <v>0.7</v>
      </c>
      <c r="E8" s="2">
        <v>0.8</v>
      </c>
    </row>
    <row r="9" spans="1:6" x14ac:dyDescent="0.45">
      <c r="A9" s="1">
        <v>45881</v>
      </c>
      <c r="B9">
        <v>7</v>
      </c>
      <c r="C9">
        <v>10</v>
      </c>
      <c r="D9" s="2">
        <f t="shared" si="0"/>
        <v>0.7</v>
      </c>
      <c r="E9" s="2">
        <v>0.8</v>
      </c>
    </row>
    <row r="10" spans="1:6" x14ac:dyDescent="0.45">
      <c r="A10" s="1">
        <v>45882</v>
      </c>
      <c r="B10">
        <v>9</v>
      </c>
      <c r="C10">
        <v>10</v>
      </c>
      <c r="D10" s="2">
        <f t="shared" si="0"/>
        <v>0.9</v>
      </c>
      <c r="E10" s="2">
        <v>0.8</v>
      </c>
      <c r="F10">
        <v>1</v>
      </c>
    </row>
    <row r="11" spans="1:6" x14ac:dyDescent="0.45">
      <c r="A11" s="1">
        <v>45883</v>
      </c>
      <c r="B11">
        <v>7</v>
      </c>
      <c r="C11">
        <v>10</v>
      </c>
      <c r="D11" s="2">
        <f t="shared" si="0"/>
        <v>0.7</v>
      </c>
      <c r="E11" s="2">
        <v>0.8</v>
      </c>
    </row>
    <row r="12" spans="1:6" x14ac:dyDescent="0.45">
      <c r="A12" s="1">
        <v>45884</v>
      </c>
      <c r="B12">
        <v>8</v>
      </c>
      <c r="C12">
        <v>10</v>
      </c>
      <c r="D12" s="2">
        <f t="shared" si="0"/>
        <v>0.8</v>
      </c>
      <c r="E12" s="2">
        <v>0.8</v>
      </c>
      <c r="F12">
        <v>1</v>
      </c>
    </row>
    <row r="13" spans="1:6" x14ac:dyDescent="0.45">
      <c r="A13" s="1">
        <v>45887</v>
      </c>
      <c r="B13">
        <v>7</v>
      </c>
      <c r="C13">
        <v>10</v>
      </c>
      <c r="D13" s="2">
        <f t="shared" si="0"/>
        <v>0.7</v>
      </c>
      <c r="E13" s="2">
        <v>0.8</v>
      </c>
    </row>
    <row r="14" spans="1:6" x14ac:dyDescent="0.45">
      <c r="A14" s="1">
        <v>45888</v>
      </c>
      <c r="B14">
        <v>10</v>
      </c>
      <c r="C14">
        <v>10</v>
      </c>
      <c r="D14" s="2">
        <f t="shared" si="0"/>
        <v>1</v>
      </c>
      <c r="E14" s="2">
        <v>0.8</v>
      </c>
      <c r="F14">
        <v>1</v>
      </c>
    </row>
    <row r="15" spans="1:6" x14ac:dyDescent="0.45">
      <c r="A15" s="1">
        <v>45889</v>
      </c>
      <c r="B15">
        <v>9</v>
      </c>
      <c r="C15">
        <v>10</v>
      </c>
      <c r="D15" s="2">
        <f t="shared" si="0"/>
        <v>0.9</v>
      </c>
      <c r="E15" s="2">
        <v>0.8</v>
      </c>
      <c r="F15">
        <v>1</v>
      </c>
    </row>
    <row r="16" spans="1:6" x14ac:dyDescent="0.45">
      <c r="A16" s="1">
        <v>45890</v>
      </c>
      <c r="B16">
        <v>9</v>
      </c>
      <c r="C16">
        <v>10</v>
      </c>
      <c r="D16" s="2">
        <f t="shared" si="0"/>
        <v>0.9</v>
      </c>
      <c r="E16" s="2">
        <v>0.8</v>
      </c>
      <c r="F16">
        <v>1</v>
      </c>
    </row>
    <row r="17" spans="1:6" x14ac:dyDescent="0.45">
      <c r="A17" s="1">
        <v>45891</v>
      </c>
      <c r="B17">
        <v>7</v>
      </c>
      <c r="C17">
        <v>10</v>
      </c>
      <c r="D17" s="2">
        <f t="shared" si="0"/>
        <v>0.7</v>
      </c>
      <c r="E17" s="2">
        <v>0.8</v>
      </c>
    </row>
    <row r="18" spans="1:6" x14ac:dyDescent="0.45">
      <c r="A18" s="1">
        <v>45894</v>
      </c>
      <c r="B18">
        <v>6</v>
      </c>
      <c r="C18">
        <v>10</v>
      </c>
      <c r="D18" s="2">
        <f t="shared" si="0"/>
        <v>0.6</v>
      </c>
      <c r="E18" s="2">
        <v>0.8</v>
      </c>
    </row>
    <row r="19" spans="1:6" x14ac:dyDescent="0.45">
      <c r="A19" s="1">
        <v>45895</v>
      </c>
      <c r="B19">
        <v>10</v>
      </c>
      <c r="C19">
        <v>10</v>
      </c>
      <c r="D19" s="2">
        <f t="shared" si="0"/>
        <v>1</v>
      </c>
      <c r="E19" s="2">
        <v>0.8</v>
      </c>
      <c r="F19">
        <v>1</v>
      </c>
    </row>
    <row r="20" spans="1:6" x14ac:dyDescent="0.45">
      <c r="A20" s="1">
        <v>45896</v>
      </c>
      <c r="B20">
        <v>9</v>
      </c>
      <c r="C20">
        <v>10</v>
      </c>
      <c r="D20" s="2">
        <f t="shared" si="0"/>
        <v>0.9</v>
      </c>
      <c r="E20" s="2">
        <v>0.8</v>
      </c>
      <c r="F20">
        <v>1</v>
      </c>
    </row>
    <row r="21" spans="1:6" x14ac:dyDescent="0.45">
      <c r="A21" s="1">
        <v>45897</v>
      </c>
      <c r="B21">
        <v>9</v>
      </c>
      <c r="C21">
        <v>10</v>
      </c>
      <c r="D21" s="2">
        <f t="shared" si="0"/>
        <v>0.9</v>
      </c>
      <c r="E21" s="2">
        <v>0.8</v>
      </c>
      <c r="F21">
        <v>1</v>
      </c>
    </row>
    <row r="22" spans="1:6" x14ac:dyDescent="0.45">
      <c r="A22" s="1">
        <v>45898</v>
      </c>
      <c r="B22">
        <v>9</v>
      </c>
      <c r="C22">
        <v>10</v>
      </c>
      <c r="D22" s="2">
        <f t="shared" si="0"/>
        <v>0.9</v>
      </c>
      <c r="E22" s="2">
        <v>0.8</v>
      </c>
      <c r="F22">
        <v>1</v>
      </c>
    </row>
    <row r="23" spans="1:6" x14ac:dyDescent="0.45">
      <c r="A23" t="s">
        <v>20</v>
      </c>
      <c r="B23" s="20">
        <f>AVERAGE(B2:B22)</f>
        <v>8.4761904761904763</v>
      </c>
      <c r="C23" s="20">
        <f>AVERAGE(C2:C22)</f>
        <v>10</v>
      </c>
      <c r="D23" s="2">
        <f>B23/C23</f>
        <v>0.84761904761904761</v>
      </c>
      <c r="E23" s="2"/>
      <c r="F23">
        <f>COUNT(F2:F22)</f>
        <v>15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647B9-775A-47EA-B64D-B1EEE1A35D5D}">
  <dimension ref="A1:F23"/>
  <sheetViews>
    <sheetView workbookViewId="0">
      <selection activeCell="F24" sqref="F24"/>
    </sheetView>
  </sheetViews>
  <sheetFormatPr defaultRowHeight="14.25" x14ac:dyDescent="0.45"/>
  <cols>
    <col min="1" max="1" width="9.73046875" bestFit="1" customWidth="1"/>
    <col min="3" max="3" width="12.86328125" bestFit="1" customWidth="1"/>
  </cols>
  <sheetData>
    <row r="1" spans="1:6" x14ac:dyDescent="0.45">
      <c r="A1" t="s">
        <v>23</v>
      </c>
      <c r="B1" t="s">
        <v>97</v>
      </c>
      <c r="C1" t="s">
        <v>167</v>
      </c>
      <c r="D1" t="s">
        <v>99</v>
      </c>
      <c r="E1" t="s">
        <v>18</v>
      </c>
      <c r="F1" t="s">
        <v>21</v>
      </c>
    </row>
    <row r="2" spans="1:6" x14ac:dyDescent="0.45">
      <c r="A2" s="1">
        <v>45902</v>
      </c>
      <c r="B2">
        <v>10</v>
      </c>
      <c r="C2">
        <v>11</v>
      </c>
      <c r="D2" s="2">
        <f>SUM(B2/C2)</f>
        <v>0.90909090909090906</v>
      </c>
      <c r="E2" s="2">
        <v>0.8</v>
      </c>
      <c r="F2">
        <v>1</v>
      </c>
    </row>
    <row r="3" spans="1:6" x14ac:dyDescent="0.45">
      <c r="A3" s="1">
        <v>45903</v>
      </c>
      <c r="B3">
        <v>10</v>
      </c>
      <c r="C3">
        <v>11</v>
      </c>
      <c r="D3" s="2">
        <f t="shared" ref="D3:D22" si="0">SUM(B3/C3)</f>
        <v>0.90909090909090906</v>
      </c>
      <c r="E3" s="2">
        <v>0.8</v>
      </c>
      <c r="F3">
        <v>1</v>
      </c>
    </row>
    <row r="4" spans="1:6" x14ac:dyDescent="0.45">
      <c r="A4" s="1">
        <v>45904</v>
      </c>
      <c r="B4">
        <v>11</v>
      </c>
      <c r="C4">
        <v>11</v>
      </c>
      <c r="D4" s="2">
        <f t="shared" si="0"/>
        <v>1</v>
      </c>
      <c r="E4" s="2">
        <v>0.8</v>
      </c>
      <c r="F4">
        <v>1</v>
      </c>
    </row>
    <row r="5" spans="1:6" x14ac:dyDescent="0.45">
      <c r="A5" s="1">
        <v>45905</v>
      </c>
      <c r="B5">
        <v>10</v>
      </c>
      <c r="C5">
        <v>11</v>
      </c>
      <c r="D5" s="2">
        <f t="shared" si="0"/>
        <v>0.90909090909090906</v>
      </c>
      <c r="E5" s="2">
        <v>0.8</v>
      </c>
      <c r="F5">
        <v>1</v>
      </c>
    </row>
    <row r="6" spans="1:6" x14ac:dyDescent="0.45">
      <c r="A6" s="1">
        <v>45908</v>
      </c>
      <c r="B6">
        <v>9</v>
      </c>
      <c r="C6">
        <v>11</v>
      </c>
      <c r="D6" s="2">
        <f t="shared" si="0"/>
        <v>0.81818181818181823</v>
      </c>
      <c r="E6" s="2">
        <v>0.8</v>
      </c>
      <c r="F6">
        <v>1</v>
      </c>
    </row>
    <row r="7" spans="1:6" x14ac:dyDescent="0.45">
      <c r="A7" s="1">
        <v>45909</v>
      </c>
      <c r="B7">
        <v>9</v>
      </c>
      <c r="C7">
        <v>11</v>
      </c>
      <c r="D7" s="2">
        <f t="shared" si="0"/>
        <v>0.81818181818181823</v>
      </c>
      <c r="E7" s="2">
        <v>0.8</v>
      </c>
      <c r="F7">
        <v>1</v>
      </c>
    </row>
    <row r="8" spans="1:6" x14ac:dyDescent="0.45">
      <c r="A8" s="1">
        <v>45910</v>
      </c>
      <c r="B8">
        <v>9</v>
      </c>
      <c r="C8">
        <v>11</v>
      </c>
      <c r="D8" s="2">
        <f t="shared" si="0"/>
        <v>0.81818181818181823</v>
      </c>
      <c r="E8" s="2">
        <v>0.8</v>
      </c>
      <c r="F8">
        <v>1</v>
      </c>
    </row>
    <row r="9" spans="1:6" x14ac:dyDescent="0.45">
      <c r="A9" s="1">
        <v>45911</v>
      </c>
      <c r="B9">
        <v>5</v>
      </c>
      <c r="C9">
        <v>11</v>
      </c>
      <c r="D9" s="2">
        <f t="shared" si="0"/>
        <v>0.45454545454545453</v>
      </c>
      <c r="E9" s="2">
        <v>0.8</v>
      </c>
    </row>
    <row r="10" spans="1:6" x14ac:dyDescent="0.45">
      <c r="A10" s="1">
        <v>45912</v>
      </c>
      <c r="B10">
        <v>9</v>
      </c>
      <c r="C10">
        <v>11</v>
      </c>
      <c r="D10" s="2">
        <f t="shared" si="0"/>
        <v>0.81818181818181823</v>
      </c>
      <c r="E10" s="2">
        <v>0.8</v>
      </c>
      <c r="F10">
        <v>1</v>
      </c>
    </row>
    <row r="11" spans="1:6" x14ac:dyDescent="0.45">
      <c r="A11" s="1">
        <v>45915</v>
      </c>
      <c r="B11">
        <v>9</v>
      </c>
      <c r="C11">
        <v>11</v>
      </c>
      <c r="D11" s="2">
        <f t="shared" si="0"/>
        <v>0.81818181818181823</v>
      </c>
      <c r="E11" s="2">
        <v>0.8</v>
      </c>
      <c r="F11">
        <v>1</v>
      </c>
    </row>
    <row r="12" spans="1:6" x14ac:dyDescent="0.45">
      <c r="A12" s="1">
        <v>45916</v>
      </c>
      <c r="B12">
        <v>9</v>
      </c>
      <c r="C12">
        <v>11</v>
      </c>
      <c r="D12" s="2">
        <f t="shared" si="0"/>
        <v>0.81818181818181823</v>
      </c>
      <c r="E12" s="2">
        <v>0.8</v>
      </c>
      <c r="F12">
        <v>1</v>
      </c>
    </row>
    <row r="13" spans="1:6" x14ac:dyDescent="0.45">
      <c r="A13" s="1">
        <v>45917</v>
      </c>
      <c r="B13">
        <v>11</v>
      </c>
      <c r="C13">
        <v>11</v>
      </c>
      <c r="D13" s="2">
        <f t="shared" si="0"/>
        <v>1</v>
      </c>
      <c r="E13" s="2">
        <v>0.8</v>
      </c>
      <c r="F13">
        <v>1</v>
      </c>
    </row>
    <row r="14" spans="1:6" x14ac:dyDescent="0.45">
      <c r="A14" s="1">
        <v>45918</v>
      </c>
      <c r="B14">
        <v>10</v>
      </c>
      <c r="C14">
        <v>11</v>
      </c>
      <c r="D14" s="2">
        <f t="shared" si="0"/>
        <v>0.90909090909090906</v>
      </c>
      <c r="E14" s="2">
        <v>0.8</v>
      </c>
      <c r="F14">
        <v>1</v>
      </c>
    </row>
    <row r="15" spans="1:6" x14ac:dyDescent="0.45">
      <c r="A15" s="1">
        <v>45919</v>
      </c>
      <c r="B15">
        <v>9</v>
      </c>
      <c r="C15">
        <v>11</v>
      </c>
      <c r="D15" s="2">
        <f t="shared" si="0"/>
        <v>0.81818181818181823</v>
      </c>
      <c r="E15" s="2">
        <v>0.8</v>
      </c>
      <c r="F15">
        <v>1</v>
      </c>
    </row>
    <row r="16" spans="1:6" x14ac:dyDescent="0.45">
      <c r="A16" s="1">
        <v>45922</v>
      </c>
      <c r="B16">
        <v>6</v>
      </c>
      <c r="C16">
        <v>11</v>
      </c>
      <c r="D16" s="2">
        <f t="shared" si="0"/>
        <v>0.54545454545454541</v>
      </c>
      <c r="E16" s="2">
        <v>0.8</v>
      </c>
    </row>
    <row r="17" spans="1:6" x14ac:dyDescent="0.45">
      <c r="A17" s="1">
        <v>45923</v>
      </c>
      <c r="B17">
        <v>8</v>
      </c>
      <c r="C17">
        <v>11</v>
      </c>
      <c r="D17" s="2">
        <f t="shared" si="0"/>
        <v>0.72727272727272729</v>
      </c>
      <c r="E17" s="2">
        <v>0.8</v>
      </c>
    </row>
    <row r="18" spans="1:6" x14ac:dyDescent="0.45">
      <c r="A18" s="1">
        <v>45924</v>
      </c>
      <c r="B18">
        <v>9</v>
      </c>
      <c r="C18">
        <v>11</v>
      </c>
      <c r="D18" s="2">
        <f t="shared" si="0"/>
        <v>0.81818181818181823</v>
      </c>
      <c r="E18" s="2">
        <v>0.8</v>
      </c>
      <c r="F18">
        <v>1</v>
      </c>
    </row>
    <row r="19" spans="1:6" x14ac:dyDescent="0.45">
      <c r="A19" s="1">
        <v>45925</v>
      </c>
      <c r="B19">
        <v>10</v>
      </c>
      <c r="C19">
        <v>11</v>
      </c>
      <c r="D19" s="2">
        <f t="shared" si="0"/>
        <v>0.90909090909090906</v>
      </c>
      <c r="E19" s="2">
        <v>0.8</v>
      </c>
      <c r="F19">
        <v>1</v>
      </c>
    </row>
    <row r="20" spans="1:6" x14ac:dyDescent="0.45">
      <c r="A20" s="1">
        <v>45926</v>
      </c>
      <c r="B20">
        <v>10</v>
      </c>
      <c r="C20">
        <v>11</v>
      </c>
      <c r="D20" s="2">
        <f t="shared" si="0"/>
        <v>0.90909090909090906</v>
      </c>
      <c r="E20" s="2">
        <v>0.8</v>
      </c>
      <c r="F20">
        <v>1</v>
      </c>
    </row>
    <row r="21" spans="1:6" x14ac:dyDescent="0.45">
      <c r="A21" s="1">
        <v>45929</v>
      </c>
      <c r="B21">
        <v>4</v>
      </c>
      <c r="C21">
        <v>11</v>
      </c>
      <c r="D21" s="2">
        <f t="shared" si="0"/>
        <v>0.36363636363636365</v>
      </c>
      <c r="E21" s="2">
        <v>0.8</v>
      </c>
    </row>
    <row r="22" spans="1:6" x14ac:dyDescent="0.45">
      <c r="A22" s="1">
        <v>45930</v>
      </c>
      <c r="B22">
        <v>6</v>
      </c>
      <c r="C22">
        <v>11</v>
      </c>
      <c r="D22" s="2">
        <f t="shared" si="0"/>
        <v>0.54545454545454541</v>
      </c>
      <c r="E22" s="2">
        <v>0.8</v>
      </c>
    </row>
    <row r="23" spans="1:6" x14ac:dyDescent="0.45">
      <c r="A23" t="s">
        <v>20</v>
      </c>
      <c r="B23" s="20">
        <f>AVERAGE(B2:B22)</f>
        <v>8.7142857142857135</v>
      </c>
      <c r="C23" s="20">
        <f>AVERAGE(C2:C22)</f>
        <v>11</v>
      </c>
      <c r="D23" s="2">
        <f>B23/C23</f>
        <v>0.79220779220779214</v>
      </c>
      <c r="E23" s="2">
        <v>0.8</v>
      </c>
      <c r="F23">
        <f>COUNT(F2:F22)</f>
        <v>16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7199D-82F9-4BE1-867D-7D452133A1BF}">
  <dimension ref="A1:F24"/>
  <sheetViews>
    <sheetView workbookViewId="0">
      <selection activeCell="F25" sqref="F25"/>
    </sheetView>
  </sheetViews>
  <sheetFormatPr defaultRowHeight="14.25" x14ac:dyDescent="0.45"/>
  <cols>
    <col min="1" max="1" width="10.73046875" bestFit="1" customWidth="1"/>
    <col min="3" max="3" width="12.86328125" bestFit="1" customWidth="1"/>
  </cols>
  <sheetData>
    <row r="1" spans="1:6" x14ac:dyDescent="0.45">
      <c r="A1" t="s">
        <v>23</v>
      </c>
      <c r="B1" t="s">
        <v>97</v>
      </c>
      <c r="C1" t="s">
        <v>167</v>
      </c>
      <c r="D1" t="s">
        <v>99</v>
      </c>
      <c r="E1" t="s">
        <v>18</v>
      </c>
      <c r="F1" t="s">
        <v>21</v>
      </c>
    </row>
    <row r="2" spans="1:6" x14ac:dyDescent="0.45">
      <c r="A2" s="1">
        <v>45931</v>
      </c>
      <c r="B2">
        <v>11</v>
      </c>
      <c r="C2">
        <v>11</v>
      </c>
      <c r="D2" s="2">
        <f>SUM(B2/C2)</f>
        <v>1</v>
      </c>
      <c r="E2" s="2">
        <v>0.8</v>
      </c>
      <c r="F2">
        <v>1</v>
      </c>
    </row>
    <row r="3" spans="1:6" x14ac:dyDescent="0.45">
      <c r="A3" s="1">
        <v>45932</v>
      </c>
      <c r="B3">
        <v>8</v>
      </c>
      <c r="C3">
        <v>11</v>
      </c>
      <c r="D3" s="2">
        <f t="shared" ref="D3:D23" si="0">SUM(B3/C3)</f>
        <v>0.72727272727272729</v>
      </c>
      <c r="E3" s="2">
        <v>0.8</v>
      </c>
    </row>
    <row r="4" spans="1:6" x14ac:dyDescent="0.45">
      <c r="A4" s="1">
        <v>45933</v>
      </c>
      <c r="B4">
        <v>9</v>
      </c>
      <c r="C4">
        <v>11</v>
      </c>
      <c r="D4" s="2">
        <f t="shared" si="0"/>
        <v>0.81818181818181823</v>
      </c>
      <c r="E4" s="2">
        <v>0.8</v>
      </c>
      <c r="F4">
        <v>1</v>
      </c>
    </row>
    <row r="5" spans="1:6" x14ac:dyDescent="0.45">
      <c r="A5" s="1">
        <v>45936</v>
      </c>
      <c r="B5">
        <v>5</v>
      </c>
      <c r="C5">
        <v>11</v>
      </c>
      <c r="D5" s="2">
        <f t="shared" si="0"/>
        <v>0.45454545454545453</v>
      </c>
      <c r="E5" s="2">
        <v>0.8</v>
      </c>
    </row>
    <row r="6" spans="1:6" x14ac:dyDescent="0.45">
      <c r="A6" s="1">
        <v>45937</v>
      </c>
      <c r="B6">
        <v>7</v>
      </c>
      <c r="C6">
        <v>11</v>
      </c>
      <c r="D6" s="2">
        <f t="shared" si="0"/>
        <v>0.63636363636363635</v>
      </c>
      <c r="E6" s="2">
        <v>0.8</v>
      </c>
    </row>
    <row r="7" spans="1:6" x14ac:dyDescent="0.45">
      <c r="A7" s="1">
        <v>45938</v>
      </c>
      <c r="B7">
        <v>8</v>
      </c>
      <c r="C7">
        <v>11</v>
      </c>
      <c r="D7" s="2">
        <f t="shared" si="0"/>
        <v>0.72727272727272729</v>
      </c>
      <c r="E7" s="2">
        <v>0.8</v>
      </c>
    </row>
    <row r="8" spans="1:6" x14ac:dyDescent="0.45">
      <c r="A8" s="1">
        <v>45939</v>
      </c>
      <c r="B8">
        <v>7</v>
      </c>
      <c r="C8">
        <v>11</v>
      </c>
      <c r="D8" s="2">
        <f t="shared" si="0"/>
        <v>0.63636363636363635</v>
      </c>
      <c r="E8" s="2">
        <v>0.8</v>
      </c>
    </row>
    <row r="9" spans="1:6" x14ac:dyDescent="0.45">
      <c r="A9" s="1">
        <v>45940</v>
      </c>
      <c r="B9">
        <v>8</v>
      </c>
      <c r="C9">
        <v>11</v>
      </c>
      <c r="D9" s="2">
        <f t="shared" si="0"/>
        <v>0.72727272727272729</v>
      </c>
      <c r="E9" s="2">
        <v>0.8</v>
      </c>
    </row>
    <row r="10" spans="1:6" x14ac:dyDescent="0.45">
      <c r="A10" s="1">
        <v>45944</v>
      </c>
      <c r="B10">
        <v>8</v>
      </c>
      <c r="C10">
        <v>11</v>
      </c>
      <c r="D10" s="2">
        <f t="shared" si="0"/>
        <v>0.72727272727272729</v>
      </c>
      <c r="E10" s="2">
        <v>0.8</v>
      </c>
    </row>
    <row r="11" spans="1:6" x14ac:dyDescent="0.45">
      <c r="A11" s="1">
        <v>45945</v>
      </c>
      <c r="B11">
        <v>8</v>
      </c>
      <c r="C11">
        <v>11</v>
      </c>
      <c r="D11" s="2">
        <f t="shared" si="0"/>
        <v>0.72727272727272729</v>
      </c>
      <c r="E11" s="2">
        <v>0.8</v>
      </c>
    </row>
    <row r="12" spans="1:6" x14ac:dyDescent="0.45">
      <c r="A12" s="1">
        <v>45946</v>
      </c>
      <c r="B12">
        <v>10</v>
      </c>
      <c r="C12">
        <v>11</v>
      </c>
      <c r="D12" s="2">
        <f t="shared" si="0"/>
        <v>0.90909090909090906</v>
      </c>
      <c r="E12" s="2">
        <v>0.8</v>
      </c>
      <c r="F12">
        <v>1</v>
      </c>
    </row>
    <row r="13" spans="1:6" x14ac:dyDescent="0.45">
      <c r="A13" s="1">
        <v>45947</v>
      </c>
      <c r="B13">
        <v>9</v>
      </c>
      <c r="C13">
        <v>11</v>
      </c>
      <c r="D13" s="2">
        <f t="shared" si="0"/>
        <v>0.81818181818181823</v>
      </c>
      <c r="E13" s="2">
        <v>0.8</v>
      </c>
      <c r="F13">
        <v>1</v>
      </c>
    </row>
    <row r="14" spans="1:6" x14ac:dyDescent="0.45">
      <c r="A14" s="1">
        <v>45950</v>
      </c>
      <c r="B14">
        <v>7</v>
      </c>
      <c r="C14">
        <v>13</v>
      </c>
      <c r="D14" s="2">
        <f t="shared" si="0"/>
        <v>0.53846153846153844</v>
      </c>
      <c r="E14" s="2">
        <v>0.8</v>
      </c>
    </row>
    <row r="15" spans="1:6" x14ac:dyDescent="0.45">
      <c r="A15" s="1">
        <v>45951</v>
      </c>
      <c r="B15">
        <v>9</v>
      </c>
      <c r="C15">
        <v>13</v>
      </c>
      <c r="D15" s="2">
        <f t="shared" si="0"/>
        <v>0.69230769230769229</v>
      </c>
      <c r="E15" s="2">
        <v>0.8</v>
      </c>
    </row>
    <row r="16" spans="1:6" x14ac:dyDescent="0.45">
      <c r="A16" s="1">
        <v>45952</v>
      </c>
      <c r="B16">
        <v>11</v>
      </c>
      <c r="C16">
        <v>13</v>
      </c>
      <c r="D16" s="2">
        <f t="shared" si="0"/>
        <v>0.84615384615384615</v>
      </c>
      <c r="E16" s="2">
        <v>0.8</v>
      </c>
      <c r="F16">
        <v>1</v>
      </c>
    </row>
    <row r="17" spans="1:6" x14ac:dyDescent="0.45">
      <c r="A17" s="1">
        <v>45953</v>
      </c>
      <c r="B17">
        <v>11</v>
      </c>
      <c r="C17">
        <v>13</v>
      </c>
      <c r="D17" s="2">
        <f t="shared" si="0"/>
        <v>0.84615384615384615</v>
      </c>
      <c r="E17" s="2">
        <v>0.8</v>
      </c>
      <c r="F17">
        <v>1</v>
      </c>
    </row>
    <row r="18" spans="1:6" x14ac:dyDescent="0.45">
      <c r="A18" s="1">
        <v>45954</v>
      </c>
      <c r="B18">
        <v>10</v>
      </c>
      <c r="C18">
        <v>13</v>
      </c>
      <c r="D18" s="2">
        <f t="shared" si="0"/>
        <v>0.76923076923076927</v>
      </c>
      <c r="E18" s="2">
        <v>0.8</v>
      </c>
    </row>
    <row r="19" spans="1:6" x14ac:dyDescent="0.45">
      <c r="A19" s="1">
        <v>45957</v>
      </c>
      <c r="B19">
        <v>12</v>
      </c>
      <c r="C19">
        <v>13</v>
      </c>
      <c r="D19" s="2">
        <f t="shared" si="0"/>
        <v>0.92307692307692313</v>
      </c>
      <c r="E19" s="2">
        <v>0.8</v>
      </c>
      <c r="F19">
        <v>1</v>
      </c>
    </row>
    <row r="20" spans="1:6" x14ac:dyDescent="0.45">
      <c r="A20" s="1">
        <v>45958</v>
      </c>
      <c r="B20">
        <v>13</v>
      </c>
      <c r="C20">
        <v>13</v>
      </c>
      <c r="D20" s="2">
        <f t="shared" si="0"/>
        <v>1</v>
      </c>
      <c r="E20" s="2">
        <v>0.8</v>
      </c>
      <c r="F20">
        <v>1</v>
      </c>
    </row>
    <row r="21" spans="1:6" x14ac:dyDescent="0.45">
      <c r="A21" s="1">
        <v>45959</v>
      </c>
      <c r="B21">
        <v>12</v>
      </c>
      <c r="C21">
        <v>13</v>
      </c>
      <c r="D21" s="2">
        <f t="shared" si="0"/>
        <v>0.92307692307692313</v>
      </c>
      <c r="E21" s="2">
        <v>0.8</v>
      </c>
      <c r="F21">
        <v>1</v>
      </c>
    </row>
    <row r="22" spans="1:6" x14ac:dyDescent="0.45">
      <c r="A22" s="1">
        <v>45960</v>
      </c>
      <c r="B22">
        <v>13</v>
      </c>
      <c r="C22">
        <v>13</v>
      </c>
      <c r="D22" s="2">
        <f t="shared" si="0"/>
        <v>1</v>
      </c>
      <c r="E22" s="2">
        <v>0.8</v>
      </c>
      <c r="F22">
        <v>1</v>
      </c>
    </row>
    <row r="23" spans="1:6" x14ac:dyDescent="0.45">
      <c r="A23" s="1">
        <v>45961</v>
      </c>
      <c r="B23">
        <v>12</v>
      </c>
      <c r="C23">
        <v>13</v>
      </c>
      <c r="D23" s="2">
        <f t="shared" si="0"/>
        <v>0.92307692307692313</v>
      </c>
      <c r="E23" s="2">
        <v>0.8</v>
      </c>
      <c r="F23">
        <v>1</v>
      </c>
    </row>
    <row r="24" spans="1:6" x14ac:dyDescent="0.45">
      <c r="A24" t="s">
        <v>20</v>
      </c>
      <c r="B24" s="20">
        <f>AVERAGE(B2:B23)</f>
        <v>9.454545454545455</v>
      </c>
      <c r="C24" s="20">
        <f>AVERAGE(C2:C23)</f>
        <v>11.909090909090908</v>
      </c>
      <c r="D24" s="2">
        <f>B24/C24</f>
        <v>0.79389312977099247</v>
      </c>
      <c r="E24" s="2">
        <v>0.8</v>
      </c>
      <c r="F24">
        <f>COUNT(F2:F23)</f>
        <v>11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AE7A1-E3C0-4957-BE3A-12EAF4E88840}">
  <dimension ref="A1:F20"/>
  <sheetViews>
    <sheetView workbookViewId="0">
      <selection activeCell="H28" sqref="H28"/>
    </sheetView>
  </sheetViews>
  <sheetFormatPr defaultRowHeight="14.25" x14ac:dyDescent="0.45"/>
  <cols>
    <col min="1" max="1" width="10.73046875" bestFit="1" customWidth="1"/>
    <col min="3" max="3" width="12.86328125" bestFit="1" customWidth="1"/>
  </cols>
  <sheetData>
    <row r="1" spans="1:6" x14ac:dyDescent="0.45">
      <c r="A1" t="s">
        <v>23</v>
      </c>
      <c r="B1" t="s">
        <v>97</v>
      </c>
      <c r="C1" t="s">
        <v>167</v>
      </c>
      <c r="D1" t="s">
        <v>99</v>
      </c>
      <c r="E1" t="s">
        <v>18</v>
      </c>
      <c r="F1" t="s">
        <v>21</v>
      </c>
    </row>
    <row r="2" spans="1:6" x14ac:dyDescent="0.45">
      <c r="A2" s="1">
        <v>45964</v>
      </c>
      <c r="B2">
        <v>9</v>
      </c>
      <c r="C2">
        <v>13</v>
      </c>
      <c r="D2" s="2">
        <f>SUM(B2/C2)</f>
        <v>0.69230769230769229</v>
      </c>
      <c r="E2" s="2">
        <v>0.8</v>
      </c>
    </row>
    <row r="3" spans="1:6" x14ac:dyDescent="0.45">
      <c r="A3" s="1">
        <v>45965</v>
      </c>
      <c r="B3">
        <v>12</v>
      </c>
      <c r="C3">
        <v>13</v>
      </c>
      <c r="D3" s="2">
        <f t="shared" ref="D3:D19" si="0">SUM(B3/C3)</f>
        <v>0.92307692307692313</v>
      </c>
      <c r="E3" s="2">
        <v>0.8</v>
      </c>
      <c r="F3">
        <v>1</v>
      </c>
    </row>
    <row r="4" spans="1:6" x14ac:dyDescent="0.45">
      <c r="A4" s="1">
        <v>45966</v>
      </c>
      <c r="B4">
        <v>10</v>
      </c>
      <c r="C4">
        <v>13</v>
      </c>
      <c r="D4" s="2">
        <f t="shared" si="0"/>
        <v>0.76923076923076927</v>
      </c>
      <c r="E4" s="2">
        <v>0.8</v>
      </c>
    </row>
    <row r="5" spans="1:6" x14ac:dyDescent="0.45">
      <c r="A5" s="1">
        <v>45967</v>
      </c>
      <c r="B5">
        <v>12</v>
      </c>
      <c r="C5">
        <v>13</v>
      </c>
      <c r="D5" s="2">
        <f t="shared" si="0"/>
        <v>0.92307692307692313</v>
      </c>
      <c r="E5" s="2">
        <v>0.8</v>
      </c>
      <c r="F5">
        <v>1</v>
      </c>
    </row>
    <row r="6" spans="1:6" x14ac:dyDescent="0.45">
      <c r="A6" s="1">
        <v>45968</v>
      </c>
      <c r="B6">
        <v>9</v>
      </c>
      <c r="C6">
        <v>13</v>
      </c>
      <c r="D6" s="2">
        <f t="shared" si="0"/>
        <v>0.69230769230769229</v>
      </c>
      <c r="E6" s="2">
        <v>0.8</v>
      </c>
    </row>
    <row r="7" spans="1:6" x14ac:dyDescent="0.45">
      <c r="A7" s="1">
        <v>45971</v>
      </c>
      <c r="B7">
        <v>10</v>
      </c>
      <c r="C7">
        <v>13</v>
      </c>
      <c r="D7" s="2">
        <f t="shared" si="0"/>
        <v>0.76923076923076927</v>
      </c>
      <c r="E7" s="2">
        <v>0.8</v>
      </c>
    </row>
    <row r="8" spans="1:6" x14ac:dyDescent="0.45">
      <c r="A8" s="1">
        <v>45973</v>
      </c>
      <c r="B8">
        <v>11</v>
      </c>
      <c r="C8">
        <v>13</v>
      </c>
      <c r="D8" s="2">
        <f t="shared" si="0"/>
        <v>0.84615384615384615</v>
      </c>
      <c r="E8" s="2">
        <v>0.8</v>
      </c>
      <c r="F8">
        <v>1</v>
      </c>
    </row>
    <row r="9" spans="1:6" x14ac:dyDescent="0.45">
      <c r="A9" s="1">
        <v>45974</v>
      </c>
      <c r="B9">
        <v>12</v>
      </c>
      <c r="C9">
        <v>13</v>
      </c>
      <c r="D9" s="2">
        <f t="shared" si="0"/>
        <v>0.92307692307692313</v>
      </c>
      <c r="E9" s="2">
        <v>0.8</v>
      </c>
      <c r="F9">
        <v>1</v>
      </c>
    </row>
    <row r="10" spans="1:6" x14ac:dyDescent="0.45">
      <c r="A10" s="1">
        <v>45975</v>
      </c>
      <c r="B10">
        <v>10</v>
      </c>
      <c r="C10">
        <v>13</v>
      </c>
      <c r="D10" s="2">
        <f t="shared" si="0"/>
        <v>0.76923076923076927</v>
      </c>
      <c r="E10" s="2">
        <v>0.8</v>
      </c>
    </row>
    <row r="11" spans="1:6" x14ac:dyDescent="0.45">
      <c r="A11" s="1">
        <v>45978</v>
      </c>
      <c r="B11">
        <v>9</v>
      </c>
      <c r="C11">
        <v>12</v>
      </c>
      <c r="D11" s="2">
        <f t="shared" si="0"/>
        <v>0.75</v>
      </c>
      <c r="E11" s="2">
        <v>0.8</v>
      </c>
    </row>
    <row r="12" spans="1:6" x14ac:dyDescent="0.45">
      <c r="A12" s="1">
        <v>45979</v>
      </c>
      <c r="B12">
        <v>10</v>
      </c>
      <c r="C12">
        <v>12</v>
      </c>
      <c r="D12" s="2">
        <f t="shared" si="0"/>
        <v>0.83333333333333337</v>
      </c>
      <c r="E12" s="2">
        <v>0.8</v>
      </c>
      <c r="F12">
        <v>1</v>
      </c>
    </row>
    <row r="13" spans="1:6" x14ac:dyDescent="0.45">
      <c r="A13" s="1">
        <v>45980</v>
      </c>
      <c r="B13">
        <v>10</v>
      </c>
      <c r="C13">
        <v>12</v>
      </c>
      <c r="D13" s="2">
        <f t="shared" si="0"/>
        <v>0.83333333333333337</v>
      </c>
      <c r="E13" s="2">
        <v>0.8</v>
      </c>
      <c r="F13">
        <v>1</v>
      </c>
    </row>
    <row r="14" spans="1:6" x14ac:dyDescent="0.45">
      <c r="A14" s="1">
        <v>45981</v>
      </c>
      <c r="B14">
        <v>12</v>
      </c>
      <c r="C14">
        <v>12</v>
      </c>
      <c r="D14" s="2">
        <f t="shared" si="0"/>
        <v>1</v>
      </c>
      <c r="E14" s="2">
        <v>0.8</v>
      </c>
      <c r="F14">
        <v>1</v>
      </c>
    </row>
    <row r="15" spans="1:6" x14ac:dyDescent="0.45">
      <c r="A15" s="1">
        <v>45982</v>
      </c>
      <c r="B15">
        <v>10</v>
      </c>
      <c r="C15">
        <v>12</v>
      </c>
      <c r="D15" s="2">
        <f t="shared" si="0"/>
        <v>0.83333333333333337</v>
      </c>
      <c r="E15" s="2">
        <v>0.8</v>
      </c>
      <c r="F15">
        <v>1</v>
      </c>
    </row>
    <row r="16" spans="1:6" x14ac:dyDescent="0.45">
      <c r="A16" s="1">
        <v>45985</v>
      </c>
      <c r="B16">
        <v>12</v>
      </c>
      <c r="C16">
        <v>12</v>
      </c>
      <c r="D16" s="2">
        <f t="shared" si="0"/>
        <v>1</v>
      </c>
      <c r="E16" s="2">
        <v>0.8</v>
      </c>
      <c r="F16">
        <v>1</v>
      </c>
    </row>
    <row r="17" spans="1:6" x14ac:dyDescent="0.45">
      <c r="A17" s="1">
        <v>45986</v>
      </c>
      <c r="B17">
        <v>11</v>
      </c>
      <c r="C17">
        <v>12</v>
      </c>
      <c r="D17" s="2">
        <f t="shared" si="0"/>
        <v>0.91666666666666663</v>
      </c>
      <c r="E17" s="2">
        <v>0.8</v>
      </c>
      <c r="F17">
        <v>1</v>
      </c>
    </row>
    <row r="18" spans="1:6" x14ac:dyDescent="0.45">
      <c r="A18" s="1">
        <v>45987</v>
      </c>
      <c r="B18">
        <v>10</v>
      </c>
      <c r="C18">
        <v>12</v>
      </c>
      <c r="D18" s="2">
        <f t="shared" si="0"/>
        <v>0.83333333333333337</v>
      </c>
      <c r="E18" s="2">
        <v>0.8</v>
      </c>
      <c r="F18">
        <v>1</v>
      </c>
    </row>
    <row r="19" spans="1:6" x14ac:dyDescent="0.45">
      <c r="A19" s="1">
        <v>45989</v>
      </c>
      <c r="B19">
        <v>10</v>
      </c>
      <c r="C19">
        <v>12</v>
      </c>
      <c r="D19" s="2">
        <f t="shared" si="0"/>
        <v>0.83333333333333337</v>
      </c>
      <c r="E19" s="2">
        <v>0.8</v>
      </c>
      <c r="F19">
        <v>1</v>
      </c>
    </row>
    <row r="20" spans="1:6" x14ac:dyDescent="0.45">
      <c r="A20" t="s">
        <v>20</v>
      </c>
      <c r="B20" s="20">
        <f>AVERAGE(B2:B19)</f>
        <v>10.5</v>
      </c>
      <c r="C20" s="20">
        <f>AVERAGE(C2:C19)</f>
        <v>12.5</v>
      </c>
      <c r="D20" s="2">
        <f>B20/C20</f>
        <v>0.84</v>
      </c>
      <c r="E20" s="2">
        <v>0.8</v>
      </c>
      <c r="F20">
        <f>COUNT(F2:F19)</f>
        <v>12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3E6F-A506-406D-86C0-4CCC1843211C}">
  <dimension ref="A1:F24"/>
  <sheetViews>
    <sheetView workbookViewId="0">
      <selection activeCell="D24" sqref="D24"/>
    </sheetView>
  </sheetViews>
  <sheetFormatPr defaultRowHeight="14.25" x14ac:dyDescent="0.45"/>
  <cols>
    <col min="1" max="1" width="10.73046875" bestFit="1" customWidth="1"/>
    <col min="3" max="3" width="12.86328125" bestFit="1" customWidth="1"/>
  </cols>
  <sheetData>
    <row r="1" spans="1:6" x14ac:dyDescent="0.45">
      <c r="A1" t="s">
        <v>23</v>
      </c>
      <c r="B1" t="s">
        <v>97</v>
      </c>
      <c r="C1" t="s">
        <v>167</v>
      </c>
      <c r="D1" t="s">
        <v>99</v>
      </c>
      <c r="E1" t="s">
        <v>18</v>
      </c>
      <c r="F1" t="s">
        <v>21</v>
      </c>
    </row>
    <row r="2" spans="1:6" x14ac:dyDescent="0.45">
      <c r="A2" s="1">
        <v>45992</v>
      </c>
      <c r="B2">
        <v>9</v>
      </c>
      <c r="C2">
        <v>13</v>
      </c>
      <c r="D2" s="2">
        <f>SUM(B2/C2)</f>
        <v>0.69230769230769229</v>
      </c>
      <c r="E2" s="2">
        <v>0.8</v>
      </c>
    </row>
    <row r="3" spans="1:6" x14ac:dyDescent="0.45">
      <c r="A3" s="1">
        <v>45993</v>
      </c>
      <c r="B3">
        <v>7</v>
      </c>
      <c r="C3">
        <v>13</v>
      </c>
      <c r="D3" s="2">
        <f t="shared" ref="D3:D23" si="0">SUM(B3/C3)</f>
        <v>0.53846153846153844</v>
      </c>
      <c r="E3" s="2">
        <v>0.8</v>
      </c>
    </row>
    <row r="4" spans="1:6" x14ac:dyDescent="0.45">
      <c r="A4" s="1">
        <v>45994</v>
      </c>
      <c r="B4">
        <v>9</v>
      </c>
      <c r="C4">
        <v>13</v>
      </c>
      <c r="D4" s="2">
        <f t="shared" si="0"/>
        <v>0.69230769230769229</v>
      </c>
      <c r="E4" s="2">
        <v>0.8</v>
      </c>
    </row>
    <row r="5" spans="1:6" x14ac:dyDescent="0.45">
      <c r="A5" s="1">
        <v>45995</v>
      </c>
      <c r="B5">
        <v>9</v>
      </c>
      <c r="C5">
        <v>13</v>
      </c>
      <c r="D5" s="2">
        <f t="shared" si="0"/>
        <v>0.69230769230769229</v>
      </c>
      <c r="E5" s="2">
        <v>0.8</v>
      </c>
    </row>
    <row r="6" spans="1:6" x14ac:dyDescent="0.45">
      <c r="A6" s="1">
        <v>45996</v>
      </c>
      <c r="B6">
        <v>10</v>
      </c>
      <c r="C6">
        <v>13</v>
      </c>
      <c r="D6" s="2">
        <f t="shared" si="0"/>
        <v>0.76923076923076927</v>
      </c>
      <c r="E6" s="2">
        <v>0.8</v>
      </c>
    </row>
    <row r="7" spans="1:6" x14ac:dyDescent="0.45">
      <c r="A7" s="1">
        <v>45999</v>
      </c>
      <c r="B7">
        <v>7</v>
      </c>
      <c r="C7">
        <v>13</v>
      </c>
      <c r="D7" s="2">
        <f t="shared" si="0"/>
        <v>0.53846153846153844</v>
      </c>
      <c r="E7" s="2">
        <v>0.8</v>
      </c>
    </row>
    <row r="8" spans="1:6" x14ac:dyDescent="0.45">
      <c r="A8" s="1">
        <v>46000</v>
      </c>
      <c r="B8">
        <v>11</v>
      </c>
      <c r="C8">
        <v>13</v>
      </c>
      <c r="D8" s="2">
        <f t="shared" si="0"/>
        <v>0.84615384615384615</v>
      </c>
      <c r="E8" s="2">
        <v>0.8</v>
      </c>
      <c r="F8">
        <v>1</v>
      </c>
    </row>
    <row r="9" spans="1:6" x14ac:dyDescent="0.45">
      <c r="A9" s="1">
        <v>46001</v>
      </c>
      <c r="B9">
        <v>13</v>
      </c>
      <c r="C9">
        <v>13</v>
      </c>
      <c r="D9" s="2">
        <f t="shared" si="0"/>
        <v>1</v>
      </c>
      <c r="E9" s="2">
        <v>0.8</v>
      </c>
      <c r="F9">
        <v>1</v>
      </c>
    </row>
    <row r="10" spans="1:6" x14ac:dyDescent="0.45">
      <c r="A10" s="1">
        <v>46002</v>
      </c>
      <c r="B10">
        <v>10</v>
      </c>
      <c r="C10">
        <v>13</v>
      </c>
      <c r="D10" s="2">
        <f t="shared" si="0"/>
        <v>0.76923076923076927</v>
      </c>
      <c r="E10" s="2">
        <v>0.8</v>
      </c>
    </row>
    <row r="11" spans="1:6" x14ac:dyDescent="0.45">
      <c r="A11" s="1">
        <v>46003</v>
      </c>
      <c r="B11">
        <v>7</v>
      </c>
      <c r="C11">
        <v>13</v>
      </c>
      <c r="D11" s="2">
        <f t="shared" si="0"/>
        <v>0.53846153846153844</v>
      </c>
      <c r="E11" s="2">
        <v>0.8</v>
      </c>
    </row>
    <row r="12" spans="1:6" x14ac:dyDescent="0.45">
      <c r="A12" s="1">
        <v>46006</v>
      </c>
      <c r="B12">
        <v>9</v>
      </c>
      <c r="C12">
        <v>13</v>
      </c>
      <c r="D12" s="2">
        <f t="shared" si="0"/>
        <v>0.69230769230769229</v>
      </c>
      <c r="E12" s="2">
        <v>0.8</v>
      </c>
    </row>
    <row r="13" spans="1:6" x14ac:dyDescent="0.45">
      <c r="A13" s="1">
        <v>46007</v>
      </c>
      <c r="B13">
        <v>13</v>
      </c>
      <c r="C13">
        <v>13</v>
      </c>
      <c r="D13" s="2">
        <f t="shared" si="0"/>
        <v>1</v>
      </c>
      <c r="E13" s="2">
        <v>0.8</v>
      </c>
      <c r="F13">
        <v>1</v>
      </c>
    </row>
    <row r="14" spans="1:6" x14ac:dyDescent="0.45">
      <c r="A14" s="1">
        <v>46008</v>
      </c>
      <c r="B14">
        <v>10</v>
      </c>
      <c r="C14">
        <v>13</v>
      </c>
      <c r="D14" s="2">
        <f t="shared" si="0"/>
        <v>0.76923076923076927</v>
      </c>
      <c r="E14" s="2">
        <v>0.8</v>
      </c>
    </row>
    <row r="15" spans="1:6" x14ac:dyDescent="0.45">
      <c r="A15" s="1">
        <v>46009</v>
      </c>
      <c r="B15">
        <v>12</v>
      </c>
      <c r="C15">
        <v>13</v>
      </c>
      <c r="D15" s="2">
        <f t="shared" si="0"/>
        <v>0.92307692307692313</v>
      </c>
      <c r="E15" s="2">
        <v>0.8</v>
      </c>
      <c r="F15">
        <v>1</v>
      </c>
    </row>
    <row r="16" spans="1:6" x14ac:dyDescent="0.45">
      <c r="A16" s="1">
        <v>46010</v>
      </c>
      <c r="B16">
        <v>12</v>
      </c>
      <c r="C16">
        <v>13</v>
      </c>
      <c r="D16" s="2">
        <f t="shared" si="0"/>
        <v>0.92307692307692313</v>
      </c>
      <c r="E16" s="2">
        <v>0.8</v>
      </c>
      <c r="F16">
        <v>1</v>
      </c>
    </row>
    <row r="17" spans="1:6" x14ac:dyDescent="0.45">
      <c r="A17" s="1">
        <v>46013</v>
      </c>
      <c r="B17">
        <v>11</v>
      </c>
      <c r="C17">
        <v>13</v>
      </c>
      <c r="D17" s="2">
        <f t="shared" si="0"/>
        <v>0.84615384615384615</v>
      </c>
      <c r="E17" s="2">
        <v>0.8</v>
      </c>
      <c r="F17">
        <v>1</v>
      </c>
    </row>
    <row r="18" spans="1:6" x14ac:dyDescent="0.45">
      <c r="A18" s="1">
        <v>46014</v>
      </c>
      <c r="B18">
        <v>11</v>
      </c>
      <c r="C18">
        <v>13</v>
      </c>
      <c r="D18" s="2">
        <f t="shared" si="0"/>
        <v>0.84615384615384615</v>
      </c>
      <c r="E18" s="2">
        <v>0.8</v>
      </c>
      <c r="F18">
        <v>1</v>
      </c>
    </row>
    <row r="19" spans="1:6" x14ac:dyDescent="0.45">
      <c r="A19" s="1">
        <v>46015</v>
      </c>
      <c r="B19">
        <v>10</v>
      </c>
      <c r="C19">
        <v>13</v>
      </c>
      <c r="D19" s="2">
        <f t="shared" si="0"/>
        <v>0.76923076923076927</v>
      </c>
      <c r="E19" s="2">
        <v>0.8</v>
      </c>
    </row>
    <row r="20" spans="1:6" x14ac:dyDescent="0.45">
      <c r="A20" s="1">
        <v>46017</v>
      </c>
      <c r="B20">
        <v>10</v>
      </c>
      <c r="C20">
        <v>13</v>
      </c>
      <c r="D20" s="2">
        <f t="shared" si="0"/>
        <v>0.76923076923076927</v>
      </c>
      <c r="E20" s="2">
        <v>0.8</v>
      </c>
    </row>
    <row r="21" spans="1:6" x14ac:dyDescent="0.45">
      <c r="A21" s="1">
        <v>46020</v>
      </c>
      <c r="B21">
        <v>12</v>
      </c>
      <c r="C21">
        <v>13</v>
      </c>
      <c r="D21" s="2">
        <f t="shared" si="0"/>
        <v>0.92307692307692313</v>
      </c>
      <c r="E21" s="2">
        <v>0.8</v>
      </c>
      <c r="F21">
        <v>1</v>
      </c>
    </row>
    <row r="22" spans="1:6" x14ac:dyDescent="0.45">
      <c r="A22" s="1">
        <v>46021</v>
      </c>
      <c r="B22">
        <v>12</v>
      </c>
      <c r="C22">
        <v>13</v>
      </c>
      <c r="D22" s="2">
        <f t="shared" si="0"/>
        <v>0.92307692307692313</v>
      </c>
      <c r="E22" s="2">
        <v>0.8</v>
      </c>
      <c r="F22">
        <v>1</v>
      </c>
    </row>
    <row r="23" spans="1:6" x14ac:dyDescent="0.45">
      <c r="A23" s="1">
        <v>46022</v>
      </c>
      <c r="B23">
        <v>10</v>
      </c>
      <c r="C23">
        <v>13</v>
      </c>
      <c r="D23" s="2">
        <f t="shared" si="0"/>
        <v>0.76923076923076927</v>
      </c>
      <c r="E23" s="2">
        <v>0.8</v>
      </c>
    </row>
    <row r="24" spans="1:6" x14ac:dyDescent="0.45">
      <c r="A24" t="s">
        <v>20</v>
      </c>
      <c r="B24" s="20">
        <f>AVERAGE(B2:B23)</f>
        <v>10.181818181818182</v>
      </c>
      <c r="C24" s="20">
        <f>AVERAGE(C2:C19)</f>
        <v>13</v>
      </c>
      <c r="D24" s="2">
        <f>B24/C24</f>
        <v>0.78321678321678323</v>
      </c>
      <c r="E24" s="2">
        <v>0.8</v>
      </c>
      <c r="F24">
        <f>COUNT(F2:F19)</f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YTD </vt:lpstr>
      <vt:lpstr>YTD Dep</vt:lpstr>
      <vt:lpstr>Target</vt:lpstr>
      <vt:lpstr>Jan Req</vt:lpstr>
      <vt:lpstr>Jan Dep</vt:lpstr>
      <vt:lpstr>Feb Req</vt:lpstr>
      <vt:lpstr>Feb Dep</vt:lpstr>
      <vt:lpstr>Mar Req</vt:lpstr>
      <vt:lpstr>Mar Dep</vt:lpstr>
      <vt:lpstr>Apr Req</vt:lpstr>
      <vt:lpstr>Apr Dep</vt:lpstr>
      <vt:lpstr>May Req</vt:lpstr>
      <vt:lpstr>May Dep</vt:lpstr>
      <vt:lpstr>Jun Req</vt:lpstr>
      <vt:lpstr>Jun Dep</vt:lpstr>
      <vt:lpstr>July Req</vt:lpstr>
      <vt:lpstr>Jul Dep</vt:lpstr>
      <vt:lpstr>Aug Req</vt:lpstr>
      <vt:lpstr>Aug Dep</vt:lpstr>
      <vt:lpstr>Sep Dep</vt:lpstr>
      <vt:lpstr>Oct Dep</vt:lpstr>
      <vt:lpstr>Nov Dep</vt:lpstr>
      <vt:lpstr>Dec Dep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Flores</dc:creator>
  <cp:keywords/>
  <dc:description/>
  <cp:lastModifiedBy>Jose Cisneros</cp:lastModifiedBy>
  <cp:revision/>
  <dcterms:created xsi:type="dcterms:W3CDTF">2006-09-16T00:00:00Z</dcterms:created>
  <dcterms:modified xsi:type="dcterms:W3CDTF">2026-07-02T22:36:20Z</dcterms:modified>
  <cp:category/>
  <cp:contentStatus/>
</cp:coreProperties>
</file>